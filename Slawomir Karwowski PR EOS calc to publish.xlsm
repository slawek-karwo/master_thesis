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2840" windowHeight="7575"/>
  </bookViews>
  <sheets>
    <sheet name="Miejsca Zerowe" sheetId="1" r:id="rId1"/>
    <sheet name="Flash calculations" sheetId="3" r:id="rId2"/>
    <sheet name="CVD" sheetId="4" r:id="rId3"/>
    <sheet name="Separacja gazu" sheetId="5" r:id="rId4"/>
    <sheet name="Arkusz1" sheetId="6" r:id="rId5"/>
    <sheet name="Alani Kennedy" sheetId="7" r:id="rId6"/>
    <sheet name="Comp SPE" sheetId="8" r:id="rId7"/>
    <sheet name="Properties 76" sheetId="9" r:id="rId8"/>
    <sheet name="Arkusz2" sheetId="10" r:id="rId9"/>
    <sheet name="Arkusz3" sheetId="11" r:id="rId10"/>
  </sheets>
  <functionGroups>
    <functionGroup name="Commands"/>
  </functionGroups>
  <definedNames>
    <definedName name="solver_adj" localSheetId="0" hidden="1">'Miejsca Zerowe'!$B$131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'Miejsca Zerowe'!$B$132</definedName>
    <definedName name="solver_pre" localSheetId="0" hidden="1">0.0000000001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AK3" i="1"/>
  <c r="AK4"/>
  <c r="AK5"/>
  <c r="AK6"/>
  <c r="AK7"/>
  <c r="AK8"/>
  <c r="AK9"/>
  <c r="AK10"/>
  <c r="AK2"/>
  <c r="AJ3"/>
  <c r="AJ4"/>
  <c r="AJ5"/>
  <c r="AJ6"/>
  <c r="AJ7"/>
  <c r="AJ8"/>
  <c r="AJ9"/>
  <c r="AJ10"/>
  <c r="AJ2"/>
  <c r="AI3"/>
  <c r="AI4"/>
  <c r="AI5"/>
  <c r="AI6"/>
  <c r="AI7"/>
  <c r="AI8"/>
  <c r="AI9"/>
  <c r="AI10"/>
  <c r="AI2"/>
  <c r="AB22"/>
  <c r="AA22"/>
  <c r="Z22"/>
  <c r="Y22"/>
  <c r="Z21"/>
  <c r="Z20"/>
  <c r="Z19"/>
  <c r="Z18"/>
  <c r="Z17"/>
  <c r="Z16"/>
  <c r="Z15"/>
  <c r="Z14"/>
  <c r="Z13"/>
  <c r="V28" i="5"/>
  <c r="T20" i="9"/>
  <c r="F10" i="3"/>
  <c r="F3"/>
  <c r="F4"/>
  <c r="F5"/>
  <c r="F6"/>
  <c r="F7"/>
  <c r="F8"/>
  <c r="F9"/>
  <c r="L102" i="1"/>
  <c r="M102"/>
  <c r="N102"/>
  <c r="O102"/>
  <c r="P102"/>
  <c r="Q102"/>
  <c r="R102"/>
  <c r="S102"/>
  <c r="K102" l="1"/>
  <c r="D101"/>
  <c r="G101"/>
  <c r="H101"/>
  <c r="C100"/>
  <c r="E100"/>
  <c r="G100"/>
  <c r="I94"/>
  <c r="B101" s="1"/>
  <c r="I95"/>
  <c r="C101" s="1"/>
  <c r="I96"/>
  <c r="I97"/>
  <c r="E101" s="1"/>
  <c r="I98"/>
  <c r="F101" s="1"/>
  <c r="H94"/>
  <c r="B100" s="1"/>
  <c r="H95"/>
  <c r="H96"/>
  <c r="D100" s="1"/>
  <c r="H97"/>
  <c r="H98"/>
  <c r="F100" s="1"/>
  <c r="O65"/>
  <c r="O58"/>
  <c r="O59"/>
  <c r="O60"/>
  <c r="O61"/>
  <c r="O62"/>
  <c r="O63"/>
  <c r="O64"/>
  <c r="N65"/>
  <c r="N58"/>
  <c r="N59"/>
  <c r="N60"/>
  <c r="N61"/>
  <c r="N62"/>
  <c r="N63"/>
  <c r="N64"/>
  <c r="L65"/>
  <c r="L58"/>
  <c r="L59"/>
  <c r="L60"/>
  <c r="L61"/>
  <c r="L62"/>
  <c r="L63"/>
  <c r="L64"/>
  <c r="R18"/>
  <c r="S20" i="9"/>
  <c r="M17" i="1"/>
  <c r="M10"/>
  <c r="M11"/>
  <c r="M12"/>
  <c r="M13"/>
  <c r="M14"/>
  <c r="M15"/>
  <c r="M16"/>
  <c r="L17"/>
  <c r="L10"/>
  <c r="N10" s="1"/>
  <c r="B33" s="1"/>
  <c r="L11"/>
  <c r="L12"/>
  <c r="L13"/>
  <c r="L14"/>
  <c r="L15"/>
  <c r="L16"/>
  <c r="J18"/>
  <c r="I18"/>
  <c r="R20" i="9"/>
  <c r="R16"/>
  <c r="R17"/>
  <c r="R18"/>
  <c r="R15"/>
  <c r="AA4"/>
  <c r="AA5"/>
  <c r="AA6"/>
  <c r="AA3"/>
  <c r="O20"/>
  <c r="N20"/>
  <c r="Y4"/>
  <c r="Y5"/>
  <c r="Y6"/>
  <c r="Y3"/>
  <c r="X4"/>
  <c r="X5"/>
  <c r="X6"/>
  <c r="W4"/>
  <c r="W5"/>
  <c r="W6"/>
  <c r="V4"/>
  <c r="V5"/>
  <c r="V6"/>
  <c r="X3"/>
  <c r="W3"/>
  <c r="V3"/>
  <c r="U4"/>
  <c r="U5"/>
  <c r="U6"/>
  <c r="U3"/>
  <c r="T4"/>
  <c r="T5"/>
  <c r="T6"/>
  <c r="T3"/>
  <c r="S4"/>
  <c r="S5"/>
  <c r="S6"/>
  <c r="S3"/>
  <c r="R4"/>
  <c r="R5"/>
  <c r="R6"/>
  <c r="R3"/>
  <c r="Q4"/>
  <c r="Q5"/>
  <c r="Q6"/>
  <c r="Q3"/>
  <c r="P4"/>
  <c r="P5"/>
  <c r="P6"/>
  <c r="P3"/>
  <c r="G17" i="1"/>
  <c r="F18"/>
  <c r="G18" s="1"/>
  <c r="V5"/>
  <c r="V2"/>
  <c r="V4"/>
  <c r="B15" i="9"/>
  <c r="B13"/>
  <c r="F60" i="5"/>
  <c r="A64"/>
  <c r="A67" s="1"/>
  <c r="S5"/>
  <c r="G9" i="1"/>
  <c r="G10"/>
  <c r="G11"/>
  <c r="G12"/>
  <c r="G13"/>
  <c r="G14"/>
  <c r="G15"/>
  <c r="G16"/>
  <c r="I49" i="5"/>
  <c r="P27"/>
  <c r="O30"/>
  <c r="P30" s="1"/>
  <c r="AM6" i="1" l="1"/>
  <c r="M61"/>
  <c r="AM10"/>
  <c r="M65"/>
  <c r="AM7"/>
  <c r="M62"/>
  <c r="AM3"/>
  <c r="M58"/>
  <c r="AM8"/>
  <c r="M63"/>
  <c r="AM4"/>
  <c r="M59"/>
  <c r="AM9"/>
  <c r="M64"/>
  <c r="AM5"/>
  <c r="M60"/>
  <c r="N15"/>
  <c r="B38" s="1"/>
  <c r="N17"/>
  <c r="B10" i="3" s="1"/>
  <c r="V20" i="5"/>
  <c r="W20" s="1"/>
  <c r="V24"/>
  <c r="W24" s="1"/>
  <c r="X24"/>
  <c r="N14" i="1"/>
  <c r="B37" s="1"/>
  <c r="N12"/>
  <c r="B35" s="1"/>
  <c r="N16"/>
  <c r="B39" s="1"/>
  <c r="N13"/>
  <c r="B36" s="1"/>
  <c r="N11"/>
  <c r="B34" s="1"/>
  <c r="I39" i="5"/>
  <c r="I29"/>
  <c r="X23"/>
  <c r="Y23" s="1"/>
  <c r="X19"/>
  <c r="Y19" s="1"/>
  <c r="V21"/>
  <c r="W21" s="1"/>
  <c r="X17"/>
  <c r="Y17" s="1"/>
  <c r="X20"/>
  <c r="Y20" s="1"/>
  <c r="V22"/>
  <c r="W22" s="1"/>
  <c r="V18"/>
  <c r="W18" s="1"/>
  <c r="O36"/>
  <c r="X21"/>
  <c r="Y21" s="1"/>
  <c r="V23"/>
  <c r="W23" s="1"/>
  <c r="V19"/>
  <c r="W19" s="1"/>
  <c r="O35"/>
  <c r="X22"/>
  <c r="Y22" s="1"/>
  <c r="X18"/>
  <c r="Y18" s="1"/>
  <c r="V17"/>
  <c r="W17" s="1"/>
  <c r="S46"/>
  <c r="D123" i="1"/>
  <c r="O57"/>
  <c r="F2" i="3"/>
  <c r="C2"/>
  <c r="F27" i="1"/>
  <c r="N57"/>
  <c r="C137"/>
  <c r="B137"/>
  <c r="B123"/>
  <c r="L145" s="1"/>
  <c r="E98"/>
  <c r="D99"/>
  <c r="D98"/>
  <c r="D97"/>
  <c r="C98"/>
  <c r="C97"/>
  <c r="C96"/>
  <c r="B98"/>
  <c r="C94"/>
  <c r="B95" s="1"/>
  <c r="G98"/>
  <c r="F99" s="1"/>
  <c r="G97"/>
  <c r="E99" s="1"/>
  <c r="G96"/>
  <c r="G95"/>
  <c r="C99" s="1"/>
  <c r="G94"/>
  <c r="B99" s="1"/>
  <c r="F95"/>
  <c r="F94"/>
  <c r="E94"/>
  <c r="B97" s="1"/>
  <c r="D95"/>
  <c r="D94"/>
  <c r="B96" s="1"/>
  <c r="L57"/>
  <c r="M9"/>
  <c r="L9"/>
  <c r="B21"/>
  <c r="B22"/>
  <c r="M57" l="1"/>
  <c r="AM2"/>
  <c r="AI15" s="1"/>
  <c r="C40"/>
  <c r="D10" i="3" s="1"/>
  <c r="B40" i="1"/>
  <c r="Y24" i="5"/>
  <c r="Y25"/>
  <c r="X25"/>
  <c r="V25"/>
  <c r="W25" s="1"/>
  <c r="B7" i="3"/>
  <c r="C38" i="1"/>
  <c r="D8" i="3" s="1"/>
  <c r="B9"/>
  <c r="C35" i="1"/>
  <c r="D5" i="3" s="1"/>
  <c r="N9" i="1"/>
  <c r="C32" s="1"/>
  <c r="D2" i="3" s="1"/>
  <c r="D40" i="1" l="1"/>
  <c r="E10" i="3" s="1"/>
  <c r="T28" i="5"/>
  <c r="S47" s="1"/>
  <c r="U28"/>
  <c r="A61"/>
  <c r="C36" i="1"/>
  <c r="D6" i="3" s="1"/>
  <c r="C37" i="1"/>
  <c r="D7" i="3" s="1"/>
  <c r="D38" i="1"/>
  <c r="E8" i="3" s="1"/>
  <c r="B8"/>
  <c r="C33" i="1"/>
  <c r="D3" i="3" s="1"/>
  <c r="C39" i="1"/>
  <c r="D9" i="3" s="1"/>
  <c r="B5"/>
  <c r="D35" i="1"/>
  <c r="E5" i="3" s="1"/>
  <c r="B32" i="1"/>
  <c r="B41" s="1"/>
  <c r="B6" i="3"/>
  <c r="B2"/>
  <c r="D32" i="1"/>
  <c r="C34"/>
  <c r="D4" i="3" s="1"/>
  <c r="B4"/>
  <c r="S48" i="5" l="1"/>
  <c r="C41" i="1"/>
  <c r="E2" i="3"/>
  <c r="D36" i="1"/>
  <c r="E6" i="3" s="1"/>
  <c r="D39" i="1"/>
  <c r="E9" i="3" s="1"/>
  <c r="D37" i="1"/>
  <c r="E7" i="3" s="1"/>
  <c r="D33" i="1"/>
  <c r="E3" i="3" s="1"/>
  <c r="B116" i="1"/>
  <c r="D124" s="1"/>
  <c r="D34"/>
  <c r="E4" i="3" s="1"/>
  <c r="D41" i="1" l="1"/>
  <c r="C140"/>
  <c r="B115"/>
  <c r="L135"/>
  <c r="L134"/>
  <c r="B128"/>
  <c r="C138"/>
  <c r="C139"/>
  <c r="L136"/>
  <c r="B124" l="1"/>
  <c r="L146" s="1"/>
  <c r="G137"/>
  <c r="G138"/>
  <c r="C141"/>
  <c r="B145" s="1"/>
  <c r="C142" s="1"/>
  <c r="B132" l="1"/>
  <c r="B140"/>
  <c r="B138"/>
  <c r="B139"/>
  <c r="G139"/>
  <c r="G142" s="1"/>
  <c r="G140" s="1"/>
  <c r="G141" s="1"/>
  <c r="E137" l="1"/>
  <c r="E138"/>
  <c r="B141"/>
  <c r="B144" s="1"/>
  <c r="B142" s="1"/>
  <c r="E139" l="1"/>
  <c r="E142" s="1"/>
  <c r="E140" s="1"/>
  <c r="E141" s="1"/>
</calcChain>
</file>

<file path=xl/sharedStrings.xml><?xml version="1.0" encoding="utf-8"?>
<sst xmlns="http://schemas.openxmlformats.org/spreadsheetml/2006/main" count="637" uniqueCount="284">
  <si>
    <t>Sławomir Karwowski</t>
  </si>
  <si>
    <t>Algorytmy wyznaczania wykładnika gazowo-kondensatowego na podstawie zmodyfikowanego równania stanu Penga-Robinsona</t>
  </si>
  <si>
    <t>Kraków</t>
  </si>
  <si>
    <t>7.05.2017r.</t>
  </si>
  <si>
    <t>INPUT</t>
  </si>
  <si>
    <t>pi</t>
  </si>
  <si>
    <t>MPa</t>
  </si>
  <si>
    <t>Ti</t>
  </si>
  <si>
    <t>K</t>
  </si>
  <si>
    <t>Component</t>
  </si>
  <si>
    <t>%</t>
  </si>
  <si>
    <t>C1</t>
  </si>
  <si>
    <t>C2</t>
  </si>
  <si>
    <t>C3</t>
  </si>
  <si>
    <t>iC4</t>
  </si>
  <si>
    <t>nC4</t>
  </si>
  <si>
    <t>pc</t>
  </si>
  <si>
    <t>iC5</t>
  </si>
  <si>
    <t>C6</t>
  </si>
  <si>
    <t>C7</t>
  </si>
  <si>
    <t>Tc</t>
  </si>
  <si>
    <t>ω</t>
  </si>
  <si>
    <t>Tr</t>
  </si>
  <si>
    <t>pr</t>
  </si>
  <si>
    <t>pri</t>
  </si>
  <si>
    <t>Tri</t>
  </si>
  <si>
    <t>Ki Wilson</t>
  </si>
  <si>
    <t>Rachford - Rice (Muskat, Mc Dowell)</t>
  </si>
  <si>
    <t>h(Fv)i</t>
  </si>
  <si>
    <t>SUM</t>
  </si>
  <si>
    <t>xi</t>
  </si>
  <si>
    <t>yi</t>
  </si>
  <si>
    <t>VTPR EOS</t>
  </si>
  <si>
    <t>Patel Teja</t>
  </si>
  <si>
    <t>PR EOS</t>
  </si>
  <si>
    <t>mi</t>
  </si>
  <si>
    <t>ɑ(alpha)</t>
  </si>
  <si>
    <t>Ru</t>
  </si>
  <si>
    <t>J/mol*K</t>
  </si>
  <si>
    <t>a</t>
  </si>
  <si>
    <t>b</t>
  </si>
  <si>
    <t>BIC Brulolovsky</t>
  </si>
  <si>
    <t>x</t>
  </si>
  <si>
    <t>MIXING</t>
  </si>
  <si>
    <t>MIXING + BIC</t>
  </si>
  <si>
    <t>BIC 1-kij</t>
  </si>
  <si>
    <t>Aij</t>
  </si>
  <si>
    <t>SUM Amy</t>
  </si>
  <si>
    <t>SUM Amx</t>
  </si>
  <si>
    <t>SUM By</t>
  </si>
  <si>
    <t>SUM Bx</t>
  </si>
  <si>
    <t>liquid phase</t>
  </si>
  <si>
    <t>gas phase</t>
  </si>
  <si>
    <t>Agas</t>
  </si>
  <si>
    <t>Bgas</t>
  </si>
  <si>
    <t>p</t>
  </si>
  <si>
    <t>c</t>
  </si>
  <si>
    <t>d</t>
  </si>
  <si>
    <t>Zi liq</t>
  </si>
  <si>
    <t>Z liq</t>
  </si>
  <si>
    <t>Zi gas</t>
  </si>
  <si>
    <t>Z gas</t>
  </si>
  <si>
    <t>Rozwiązanie równania 3 stopnia</t>
  </si>
  <si>
    <t>Współczynniki</t>
  </si>
  <si>
    <t>liquid</t>
  </si>
  <si>
    <t>gas</t>
  </si>
  <si>
    <t>delta</t>
  </si>
  <si>
    <t>x1</t>
  </si>
  <si>
    <t>PIERWIASTEK GAS</t>
  </si>
  <si>
    <t>Pierwiastek LIQUID</t>
  </si>
  <si>
    <t>G</t>
  </si>
  <si>
    <t>L</t>
  </si>
  <si>
    <t>P</t>
  </si>
  <si>
    <t>Q</t>
  </si>
  <si>
    <t>DELTA</t>
  </si>
  <si>
    <t>y1</t>
  </si>
  <si>
    <t>delta^(1/2)</t>
  </si>
  <si>
    <t>WZORY CARDANO</t>
  </si>
  <si>
    <t>Aliq</t>
  </si>
  <si>
    <t>Bliq</t>
  </si>
  <si>
    <t>am,bm</t>
  </si>
  <si>
    <t>V</t>
  </si>
  <si>
    <t>Wartości Ki</t>
  </si>
  <si>
    <t>V startowe</t>
  </si>
  <si>
    <t>x start</t>
  </si>
  <si>
    <t>y start</t>
  </si>
  <si>
    <t>Rachford - Rice</t>
  </si>
  <si>
    <t>L=1-V</t>
  </si>
  <si>
    <t>MAKRO RachfordR</t>
  </si>
  <si>
    <t>MAKRO mixowanie</t>
  </si>
  <si>
    <t>MAKRO bic</t>
  </si>
  <si>
    <t>MAKRO Amy</t>
  </si>
  <si>
    <t>Rozwiązania przy użyciu solvera</t>
  </si>
  <si>
    <t>Współczynniki rownania 3 stopnia</t>
  </si>
  <si>
    <t>brak</t>
  </si>
  <si>
    <t>ROZWIĄZYWANIE RÓWNANIA 3 STOPNIA</t>
  </si>
  <si>
    <t>PARAMETRY</t>
  </si>
  <si>
    <t>A</t>
  </si>
  <si>
    <t>B</t>
  </si>
  <si>
    <t>x2</t>
  </si>
  <si>
    <t>x3</t>
  </si>
  <si>
    <t>WYNIKI MAKRO</t>
  </si>
  <si>
    <t>y</t>
  </si>
  <si>
    <t>fugx</t>
  </si>
  <si>
    <t>fugy</t>
  </si>
  <si>
    <t>iteracja</t>
  </si>
  <si>
    <t>błąd</t>
  </si>
  <si>
    <t>z</t>
  </si>
  <si>
    <t>T</t>
  </si>
  <si>
    <t>Solution</t>
  </si>
  <si>
    <t>TEST CVD</t>
  </si>
  <si>
    <t>T[K]</t>
  </si>
  <si>
    <t>Pi (MPa)</t>
  </si>
  <si>
    <t>Ciśnienie punktu rosy</t>
  </si>
  <si>
    <t>Krok</t>
  </si>
  <si>
    <t>Zx</t>
  </si>
  <si>
    <t>Zy</t>
  </si>
  <si>
    <r>
      <t>Z</t>
    </r>
    <r>
      <rPr>
        <vertAlign val="subscript"/>
        <sz val="11"/>
        <color theme="1"/>
        <rFont val="Czcionka tekstu podstawowego"/>
        <charset val="238"/>
      </rPr>
      <t>L</t>
    </r>
  </si>
  <si>
    <r>
      <t>Z</t>
    </r>
    <r>
      <rPr>
        <vertAlign val="subscript"/>
        <sz val="11"/>
        <color theme="1"/>
        <rFont val="Czcionka tekstu podstawowego"/>
        <charset val="238"/>
      </rPr>
      <t>V</t>
    </r>
  </si>
  <si>
    <r>
      <t>Z</t>
    </r>
    <r>
      <rPr>
        <vertAlign val="subscript"/>
        <sz val="11"/>
        <color theme="1"/>
        <rFont val="Czcionka tekstu podstawowego"/>
        <charset val="238"/>
      </rPr>
      <t>M</t>
    </r>
  </si>
  <si>
    <r>
      <t>Vs[m</t>
    </r>
    <r>
      <rPr>
        <vertAlign val="superscript"/>
        <sz val="11"/>
        <color theme="1"/>
        <rFont val="Czcionka tekstu podstawowego"/>
        <charset val="238"/>
      </rPr>
      <t>3</t>
    </r>
    <r>
      <rPr>
        <sz val="11"/>
        <color theme="1"/>
        <rFont val="Czcionka tekstu podstawowego"/>
        <charset val="238"/>
      </rPr>
      <t>]</t>
    </r>
  </si>
  <si>
    <t>n</t>
  </si>
  <si>
    <r>
      <rPr>
        <sz val="11"/>
        <color theme="1"/>
        <rFont val="Czcionka tekstu podstawowego"/>
        <charset val="238"/>
      </rPr>
      <t>n</t>
    </r>
    <r>
      <rPr>
        <vertAlign val="subscript"/>
        <sz val="11"/>
        <color theme="1"/>
        <rFont val="Czcionka tekstu podstawowego"/>
        <charset val="238"/>
      </rPr>
      <t>i</t>
    </r>
  </si>
  <si>
    <r>
      <t>n</t>
    </r>
    <r>
      <rPr>
        <vertAlign val="subscript"/>
        <sz val="11"/>
        <color theme="1"/>
        <rFont val="Czcionka tekstu podstawowego"/>
        <charset val="238"/>
      </rPr>
      <t>L</t>
    </r>
  </si>
  <si>
    <r>
      <rPr>
        <sz val="11"/>
        <color theme="1"/>
        <rFont val="Czcionka tekstu podstawowego"/>
        <charset val="238"/>
      </rPr>
      <t>n</t>
    </r>
    <r>
      <rPr>
        <vertAlign val="subscript"/>
        <sz val="11"/>
        <color theme="1"/>
        <rFont val="Czcionka tekstu podstawowego"/>
        <charset val="238"/>
      </rPr>
      <t>V</t>
    </r>
  </si>
  <si>
    <r>
      <t>V</t>
    </r>
    <r>
      <rPr>
        <vertAlign val="subscript"/>
        <sz val="11"/>
        <color theme="1"/>
        <rFont val="Czcionka tekstu podstawowego"/>
        <charset val="238"/>
      </rPr>
      <t>L</t>
    </r>
  </si>
  <si>
    <r>
      <rPr>
        <sz val="11"/>
        <color theme="1"/>
        <rFont val="Czcionka tekstu podstawowego"/>
        <charset val="238"/>
      </rPr>
      <t>V</t>
    </r>
    <r>
      <rPr>
        <vertAlign val="subscript"/>
        <sz val="11"/>
        <color theme="1"/>
        <rFont val="Czcionka tekstu podstawowego"/>
        <charset val="238"/>
      </rPr>
      <t>G</t>
    </r>
  </si>
  <si>
    <t>Udział gazu</t>
  </si>
  <si>
    <t>Udział cieczy</t>
  </si>
  <si>
    <t>Udział skł. gazowych</t>
  </si>
  <si>
    <t>Udział skł. ciekłych</t>
  </si>
  <si>
    <t>WŚ cieczy</t>
  </si>
  <si>
    <t>WŚ gazu</t>
  </si>
  <si>
    <t>WŚ miesz.</t>
  </si>
  <si>
    <t>L. moli miesz</t>
  </si>
  <si>
    <t>L. moli cieczy</t>
  </si>
  <si>
    <t>L. moli gazu</t>
  </si>
  <si>
    <t>Obj. Fazy gaz.</t>
  </si>
  <si>
    <t>Obj. Fazy ciekł.</t>
  </si>
  <si>
    <t>Obj. Całk.</t>
  </si>
  <si>
    <r>
      <t>V</t>
    </r>
    <r>
      <rPr>
        <vertAlign val="subscript"/>
        <sz val="11"/>
        <color theme="1"/>
        <rFont val="Czcionka tekstu podstawowego"/>
        <charset val="238"/>
      </rPr>
      <t>T</t>
    </r>
  </si>
  <si>
    <t>Ciśnienie [MPa]</t>
  </si>
  <si>
    <t>Obj gazu odebrana</t>
  </si>
  <si>
    <t>Vgp</t>
  </si>
  <si>
    <t>L. moli odebranego gazu</t>
  </si>
  <si>
    <t>np.</t>
  </si>
  <si>
    <t>Ilość odebranego gazu</t>
  </si>
  <si>
    <t>Dwufaz. Wsp, ściśliw</t>
  </si>
  <si>
    <t>Zd</t>
  </si>
  <si>
    <t>Gp</t>
  </si>
  <si>
    <t>Pozostała il. Moli f. gazowej</t>
  </si>
  <si>
    <t>Całk. Il moli w komorze pozostała</t>
  </si>
  <si>
    <t>Udziały molowe</t>
  </si>
  <si>
    <t>nVr</t>
  </si>
  <si>
    <t>Gp [%]</t>
  </si>
  <si>
    <t>ANALIZA CVD</t>
  </si>
  <si>
    <t>KROK TESTU</t>
  </si>
  <si>
    <t>Ciśnienie</t>
  </si>
  <si>
    <t>Zv</t>
  </si>
  <si>
    <t>ZL</t>
  </si>
  <si>
    <t>1.</t>
  </si>
  <si>
    <t>2.</t>
  </si>
  <si>
    <t>3.</t>
  </si>
  <si>
    <t>M</t>
  </si>
  <si>
    <t>Metoda Alani - Kennedy</t>
  </si>
  <si>
    <t>Mpa</t>
  </si>
  <si>
    <t>Psi</t>
  </si>
  <si>
    <t>R</t>
  </si>
  <si>
    <t>m*10^4</t>
  </si>
  <si>
    <r>
      <rPr>
        <sz val="11"/>
        <color theme="1"/>
        <rFont val="Calibri"/>
        <family val="2"/>
        <charset val="238"/>
      </rPr>
      <t>γ</t>
    </r>
    <r>
      <rPr>
        <sz val="11"/>
        <color theme="1"/>
        <rFont val="Czcionka tekstu podstawowego"/>
        <family val="2"/>
        <charset val="238"/>
      </rPr>
      <t>c7+</t>
    </r>
  </si>
  <si>
    <t>MWc7+</t>
  </si>
  <si>
    <t>kg/kmol</t>
  </si>
  <si>
    <t>ac7+</t>
  </si>
  <si>
    <t>bc7+</t>
  </si>
  <si>
    <t>xa</t>
  </si>
  <si>
    <t>xb</t>
  </si>
  <si>
    <t>SUMA ax</t>
  </si>
  <si>
    <t>SUMA bx</t>
  </si>
  <si>
    <t>Średnia MW</t>
  </si>
  <si>
    <t>C</t>
  </si>
  <si>
    <t>D</t>
  </si>
  <si>
    <t>gęstość [kg/m^3]</t>
  </si>
  <si>
    <t>Gęstość [kg/m^3]</t>
  </si>
  <si>
    <t>C7+</t>
  </si>
  <si>
    <t>Rs</t>
  </si>
  <si>
    <t>pn</t>
  </si>
  <si>
    <t>Całkowity wykładnik Rs</t>
  </si>
  <si>
    <t>Całkowita ilość moli ropy (zasilenie 1 molem)</t>
  </si>
  <si>
    <t>Całkowity ropny współczynnik Obj</t>
  </si>
  <si>
    <t>MW</t>
  </si>
  <si>
    <t>Współczynniki rownania 3 stopnia Al.-Ke</t>
  </si>
  <si>
    <t>Rozwiązania</t>
  </si>
  <si>
    <t>p2</t>
  </si>
  <si>
    <t>Bo</t>
  </si>
  <si>
    <t>Wyznaczanie poprawnych pierwiastków (A.A. Zick)</t>
  </si>
  <si>
    <t>Kolejność wyboru</t>
  </si>
  <si>
    <t>Wybór pierwiastka fazy ciekłej</t>
  </si>
  <si>
    <t>Najmniejszy</t>
  </si>
  <si>
    <t>Największy</t>
  </si>
  <si>
    <t>Wybór pierwiastka fazy gazowej</t>
  </si>
  <si>
    <t>Składnik</t>
  </si>
  <si>
    <t>λ</t>
  </si>
  <si>
    <r>
      <t>m*10</t>
    </r>
    <r>
      <rPr>
        <vertAlign val="superscript"/>
        <sz val="11"/>
        <color theme="1"/>
        <rFont val="Czcionka tekstu podstawowego"/>
        <charset val="238"/>
      </rPr>
      <t>4</t>
    </r>
  </si>
  <si>
    <r>
      <t>C</t>
    </r>
    <r>
      <rPr>
        <vertAlign val="subscript"/>
        <sz val="11"/>
        <color theme="1"/>
        <rFont val="Czcionka tekstu podstawowego"/>
        <charset val="238"/>
      </rPr>
      <t xml:space="preserve">1 </t>
    </r>
    <r>
      <rPr>
        <sz val="11"/>
        <color theme="1"/>
        <rFont val="Czcionka tekstu podstawowego"/>
        <family val="2"/>
        <charset val="238"/>
      </rPr>
      <t>(70-300 ˚F)</t>
    </r>
  </si>
  <si>
    <r>
      <t>C</t>
    </r>
    <r>
      <rPr>
        <vertAlign val="subscript"/>
        <sz val="11"/>
        <color theme="1"/>
        <rFont val="Czcionka tekstu podstawowego"/>
        <charset val="238"/>
      </rPr>
      <t xml:space="preserve">1 </t>
    </r>
    <r>
      <rPr>
        <sz val="11"/>
        <color theme="1"/>
        <rFont val="Czcionka tekstu podstawowego"/>
        <family val="2"/>
        <charset val="238"/>
      </rPr>
      <t>(301-460 ˚F)</t>
    </r>
  </si>
  <si>
    <r>
      <t>C</t>
    </r>
    <r>
      <rPr>
        <vertAlign val="subscript"/>
        <sz val="11"/>
        <color theme="1"/>
        <rFont val="Czcionka tekstu podstawowego"/>
        <charset val="238"/>
      </rPr>
      <t xml:space="preserve">2 </t>
    </r>
    <r>
      <rPr>
        <sz val="11"/>
        <color theme="1"/>
        <rFont val="Czcionka tekstu podstawowego"/>
        <family val="2"/>
        <charset val="238"/>
      </rPr>
      <t>(100-249 ˚F)</t>
    </r>
  </si>
  <si>
    <r>
      <t>C</t>
    </r>
    <r>
      <rPr>
        <vertAlign val="subscript"/>
        <sz val="11"/>
        <color theme="1"/>
        <rFont val="Czcionka tekstu podstawowego"/>
        <charset val="238"/>
      </rPr>
      <t xml:space="preserve">2 </t>
    </r>
    <r>
      <rPr>
        <sz val="11"/>
        <color theme="1"/>
        <rFont val="Czcionka tekstu podstawowego"/>
        <family val="2"/>
        <charset val="238"/>
      </rPr>
      <t>(250-460 ˚F)</t>
    </r>
  </si>
  <si>
    <r>
      <t>C</t>
    </r>
    <r>
      <rPr>
        <vertAlign val="subscript"/>
        <sz val="11"/>
        <color theme="1"/>
        <rFont val="Czcionka tekstu podstawowego"/>
        <charset val="238"/>
      </rPr>
      <t>3</t>
    </r>
  </si>
  <si>
    <r>
      <t>i-C</t>
    </r>
    <r>
      <rPr>
        <vertAlign val="subscript"/>
        <sz val="11"/>
        <color theme="1"/>
        <rFont val="Czcionka tekstu podstawowego"/>
        <charset val="238"/>
      </rPr>
      <t>4</t>
    </r>
  </si>
  <si>
    <r>
      <t>n-C</t>
    </r>
    <r>
      <rPr>
        <vertAlign val="subscript"/>
        <sz val="11"/>
        <color theme="1"/>
        <rFont val="Czcionka tekstu podstawowego"/>
        <charset val="238"/>
      </rPr>
      <t>4</t>
    </r>
  </si>
  <si>
    <r>
      <t>C</t>
    </r>
    <r>
      <rPr>
        <vertAlign val="subscript"/>
        <sz val="11"/>
        <color theme="1"/>
        <rFont val="Czcionka tekstu podstawowego"/>
        <charset val="238"/>
      </rPr>
      <t>5</t>
    </r>
  </si>
  <si>
    <r>
      <t>C</t>
    </r>
    <r>
      <rPr>
        <vertAlign val="subscript"/>
        <sz val="11"/>
        <color theme="1"/>
        <rFont val="Czcionka tekstu podstawowego"/>
        <charset val="238"/>
      </rPr>
      <t>6</t>
    </r>
  </si>
  <si>
    <r>
      <t>H</t>
    </r>
    <r>
      <rPr>
        <vertAlign val="subscript"/>
        <sz val="11"/>
        <color theme="1"/>
        <rFont val="Czcionka tekstu podstawowego"/>
        <charset val="238"/>
      </rPr>
      <t>2</t>
    </r>
    <r>
      <rPr>
        <sz val="11"/>
        <color theme="1"/>
        <rFont val="Czcionka tekstu podstawowego"/>
        <charset val="238"/>
      </rPr>
      <t>S</t>
    </r>
  </si>
  <si>
    <r>
      <t>N</t>
    </r>
    <r>
      <rPr>
        <vertAlign val="subscript"/>
        <sz val="11"/>
        <color theme="1"/>
        <rFont val="Czcionka tekstu podstawowego"/>
        <charset val="238"/>
      </rPr>
      <t>2</t>
    </r>
  </si>
  <si>
    <r>
      <t>CO</t>
    </r>
    <r>
      <rPr>
        <vertAlign val="subscript"/>
        <sz val="11"/>
        <color theme="1"/>
        <rFont val="Czcionka tekstu podstawowego"/>
        <charset val="238"/>
      </rPr>
      <t>2</t>
    </r>
  </si>
  <si>
    <t>CO2</t>
  </si>
  <si>
    <t>N2</t>
  </si>
  <si>
    <t>i-C4</t>
  </si>
  <si>
    <t>n-C4</t>
  </si>
  <si>
    <t>i-C5</t>
  </si>
  <si>
    <t>n-C5</t>
  </si>
  <si>
    <t>C6(s)</t>
  </si>
  <si>
    <t>spe str 13</t>
  </si>
  <si>
    <t>nC5</t>
  </si>
  <si>
    <t>C8</t>
  </si>
  <si>
    <t>C9</t>
  </si>
  <si>
    <t>C10+</t>
  </si>
  <si>
    <t>Suma</t>
  </si>
  <si>
    <t>TEMP K</t>
  </si>
  <si>
    <t>TEMP F</t>
  </si>
  <si>
    <t>TEMP R</t>
  </si>
  <si>
    <t>TEMP C</t>
  </si>
  <si>
    <t>TC</t>
  </si>
  <si>
    <t>w</t>
  </si>
  <si>
    <t>Tb [R]</t>
  </si>
  <si>
    <t>Tb [K]</t>
  </si>
  <si>
    <t>Tc [K]</t>
  </si>
  <si>
    <t>psi</t>
  </si>
  <si>
    <t>Pc [AD]</t>
  </si>
  <si>
    <t>Tc[PM]</t>
  </si>
  <si>
    <t>g/cm^3</t>
  </si>
  <si>
    <t>Tc[PM K]</t>
  </si>
  <si>
    <t>Pc[PM psia]</t>
  </si>
  <si>
    <t>Pc[MPa]</t>
  </si>
  <si>
    <t>Pc[AD]</t>
  </si>
  <si>
    <t>Pc [MPa]</t>
  </si>
  <si>
    <t>Average</t>
  </si>
  <si>
    <t>zi</t>
  </si>
  <si>
    <t>Pbr</t>
  </si>
  <si>
    <t>Tbr</t>
  </si>
  <si>
    <t>Pc[psia]</t>
  </si>
  <si>
    <t>A1</t>
  </si>
  <si>
    <t>A2</t>
  </si>
  <si>
    <t>A3</t>
  </si>
  <si>
    <t>A4</t>
  </si>
  <si>
    <t>A5</t>
  </si>
  <si>
    <t>A6</t>
  </si>
  <si>
    <t>A7</t>
  </si>
  <si>
    <t>A8</t>
  </si>
  <si>
    <t>v=m^3/kg</t>
  </si>
  <si>
    <t>Pkri</t>
  </si>
  <si>
    <t>Tkri</t>
  </si>
  <si>
    <t>p[MPa]</t>
  </si>
  <si>
    <r>
      <t>Z</t>
    </r>
    <r>
      <rPr>
        <vertAlign val="subscript"/>
        <sz val="9"/>
        <color theme="1"/>
        <rFont val="Czcionka tekstu podstawowego"/>
        <family val="2"/>
        <charset val="238"/>
      </rPr>
      <t>M</t>
    </r>
  </si>
  <si>
    <r>
      <t>n</t>
    </r>
    <r>
      <rPr>
        <vertAlign val="subscript"/>
        <sz val="9"/>
        <color theme="1"/>
        <rFont val="Czcionka tekstu podstawowego"/>
        <family val="2"/>
        <charset val="238"/>
      </rPr>
      <t>L</t>
    </r>
  </si>
  <si>
    <r>
      <rPr>
        <sz val="9"/>
        <color theme="1"/>
        <rFont val="Czcionka tekstu podstawowego"/>
        <family val="2"/>
        <charset val="238"/>
      </rPr>
      <t>n</t>
    </r>
    <r>
      <rPr>
        <vertAlign val="subscript"/>
        <sz val="9"/>
        <color theme="1"/>
        <rFont val="Czcionka tekstu podstawowego"/>
        <family val="2"/>
        <charset val="238"/>
      </rPr>
      <t>V</t>
    </r>
  </si>
  <si>
    <r>
      <t>V</t>
    </r>
    <r>
      <rPr>
        <vertAlign val="subscript"/>
        <sz val="9"/>
        <color theme="1"/>
        <rFont val="Czcionka tekstu podstawowego"/>
        <family val="2"/>
        <charset val="238"/>
      </rPr>
      <t>L</t>
    </r>
  </si>
  <si>
    <r>
      <rPr>
        <sz val="9"/>
        <color theme="1"/>
        <rFont val="Czcionka tekstu podstawowego"/>
        <family val="2"/>
        <charset val="238"/>
      </rPr>
      <t>V</t>
    </r>
    <r>
      <rPr>
        <vertAlign val="subscript"/>
        <sz val="9"/>
        <color theme="1"/>
        <rFont val="Czcionka tekstu podstawowego"/>
        <family val="2"/>
        <charset val="238"/>
      </rPr>
      <t>G</t>
    </r>
  </si>
  <si>
    <r>
      <t>V</t>
    </r>
    <r>
      <rPr>
        <vertAlign val="subscript"/>
        <sz val="9"/>
        <color theme="1"/>
        <rFont val="Czcionka tekstu podstawowego"/>
        <family val="2"/>
        <charset val="238"/>
      </rPr>
      <t>T</t>
    </r>
  </si>
  <si>
    <t>Krok 1</t>
  </si>
  <si>
    <t>Krok 2</t>
  </si>
  <si>
    <t>Krok 3</t>
  </si>
  <si>
    <t>Krok 4</t>
  </si>
  <si>
    <t>Krok 5</t>
  </si>
  <si>
    <t>Krok 6</t>
  </si>
  <si>
    <t>Krok 7</t>
  </si>
  <si>
    <t>Krok 8</t>
  </si>
  <si>
    <t>Tsai Chen</t>
  </si>
  <si>
    <t>N</t>
  </si>
  <si>
    <t>k1</t>
  </si>
  <si>
    <t>k2</t>
  </si>
  <si>
    <t>k3</t>
  </si>
  <si>
    <t>t</t>
  </si>
  <si>
    <t>modified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</si>
</sst>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0"/>
    <numFmt numFmtId="166" formatCode="#,##0.000"/>
  </numFmts>
  <fonts count="16">
    <font>
      <sz val="11"/>
      <color theme="1"/>
      <name val="Czcionka tekstu podstawowego"/>
      <family val="2"/>
      <charset val="238"/>
    </font>
    <font>
      <sz val="11"/>
      <color rgb="FF3F3F76"/>
      <name val="Czcionka tekstu podstawowego"/>
      <family val="2"/>
      <charset val="238"/>
    </font>
    <font>
      <sz val="11"/>
      <color theme="1"/>
      <name val="Czcionka tekstu podstawowego"/>
      <charset val="238"/>
    </font>
    <font>
      <sz val="11"/>
      <color rgb="FF006100"/>
      <name val="Czcionka tekstu podstawowego"/>
      <family val="2"/>
      <charset val="238"/>
    </font>
    <font>
      <sz val="11"/>
      <color rgb="FF9C6500"/>
      <name val="Czcionka tekstu podstawowego"/>
      <family val="2"/>
      <charset val="238"/>
    </font>
    <font>
      <sz val="11"/>
      <color theme="0"/>
      <name val="Czcionka tekstu podstawowego"/>
      <family val="2"/>
      <charset val="238"/>
    </font>
    <font>
      <vertAlign val="subscript"/>
      <sz val="11"/>
      <color theme="1"/>
      <name val="Czcionka tekstu podstawowego"/>
      <charset val="238"/>
    </font>
    <font>
      <vertAlign val="superscript"/>
      <sz val="11"/>
      <color theme="1"/>
      <name val="Czcionka tekstu podstawowego"/>
      <charset val="238"/>
    </font>
    <font>
      <sz val="11"/>
      <color theme="1"/>
      <name val="Calibri"/>
      <family val="2"/>
      <charset val="238"/>
    </font>
    <font>
      <sz val="11"/>
      <color rgb="FF000000"/>
      <name val="Czcionka tekstu podstawowego"/>
    </font>
    <font>
      <sz val="10"/>
      <color theme="1"/>
      <name val="Czcionka tekstu podstawowego"/>
      <family val="2"/>
      <charset val="238"/>
    </font>
    <font>
      <sz val="10"/>
      <color rgb="FF006100"/>
      <name val="Czcionka tekstu podstawowego"/>
      <family val="2"/>
      <charset val="238"/>
    </font>
    <font>
      <sz val="9"/>
      <color rgb="FF9C6500"/>
      <name val="Czcionka tekstu podstawowego"/>
      <family val="2"/>
      <charset val="238"/>
    </font>
    <font>
      <sz val="9"/>
      <color theme="1"/>
      <name val="Czcionka tekstu podstawowego"/>
      <family val="2"/>
      <charset val="238"/>
    </font>
    <font>
      <vertAlign val="subscript"/>
      <sz val="9"/>
      <color theme="1"/>
      <name val="Czcionka tekstu podstawowego"/>
      <family val="2"/>
      <charset val="238"/>
    </font>
    <font>
      <sz val="10"/>
      <color rgb="FF3F3F76"/>
      <name val="Czcionka tekstu podstawowego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97">
    <xf numFmtId="0" fontId="0" fillId="0" borderId="0" xfId="0"/>
    <xf numFmtId="0" fontId="1" fillId="2" borderId="1" xfId="1"/>
    <xf numFmtId="0" fontId="1" fillId="2" borderId="2" xfId="1" applyBorder="1"/>
    <xf numFmtId="0" fontId="1" fillId="2" borderId="3" xfId="1" applyBorder="1"/>
    <xf numFmtId="0" fontId="1" fillId="2" borderId="4" xfId="1" applyBorder="1"/>
    <xf numFmtId="0" fontId="2" fillId="0" borderId="0" xfId="0" applyFont="1"/>
    <xf numFmtId="0" fontId="1" fillId="2" borderId="0" xfId="1" applyBorder="1"/>
    <xf numFmtId="164" fontId="0" fillId="0" borderId="0" xfId="0" applyNumberFormat="1"/>
    <xf numFmtId="0" fontId="2" fillId="0" borderId="0" xfId="0" applyFont="1" applyFill="1" applyBorder="1"/>
    <xf numFmtId="0" fontId="0" fillId="0" borderId="3" xfId="0" applyBorder="1"/>
    <xf numFmtId="0" fontId="3" fillId="3" borderId="0" xfId="2"/>
    <xf numFmtId="0" fontId="4" fillId="4" borderId="0" xfId="3"/>
    <xf numFmtId="0" fontId="4" fillId="4" borderId="1" xfId="3" applyBorder="1"/>
    <xf numFmtId="0" fontId="4" fillId="4" borderId="6" xfId="3" applyBorder="1"/>
    <xf numFmtId="0" fontId="3" fillId="3" borderId="5" xfId="2" applyBorder="1"/>
    <xf numFmtId="0" fontId="0" fillId="0" borderId="5" xfId="0" applyBorder="1"/>
    <xf numFmtId="0" fontId="4" fillId="4" borderId="7" xfId="3" applyBorder="1"/>
    <xf numFmtId="165" fontId="0" fillId="0" borderId="0" xfId="0" applyNumberFormat="1"/>
    <xf numFmtId="0" fontId="5" fillId="5" borderId="0" xfId="4"/>
    <xf numFmtId="0" fontId="0" fillId="0" borderId="0" xfId="0" applyAlignment="1"/>
    <xf numFmtId="2" fontId="0" fillId="0" borderId="0" xfId="0" applyNumberFormat="1"/>
    <xf numFmtId="0" fontId="6" fillId="0" borderId="0" xfId="0" applyFont="1"/>
    <xf numFmtId="0" fontId="0" fillId="0" borderId="0" xfId="0" applyNumberFormat="1"/>
    <xf numFmtId="0" fontId="0" fillId="0" borderId="3" xfId="0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13" xfId="0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8" fillId="7" borderId="11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164" fontId="1" fillId="2" borderId="0" xfId="1" applyNumberFormat="1" applyBorder="1"/>
    <xf numFmtId="0" fontId="1" fillId="2" borderId="17" xfId="1" applyBorder="1"/>
    <xf numFmtId="165" fontId="0" fillId="0" borderId="3" xfId="0" applyNumberFormat="1" applyBorder="1"/>
    <xf numFmtId="0" fontId="1" fillId="2" borderId="19" xfId="1" applyBorder="1"/>
    <xf numFmtId="0" fontId="1" fillId="2" borderId="20" xfId="1" applyBorder="1"/>
    <xf numFmtId="0" fontId="1" fillId="2" borderId="21" xfId="1" applyBorder="1"/>
    <xf numFmtId="0" fontId="1" fillId="2" borderId="22" xfId="1" applyBorder="1"/>
    <xf numFmtId="0" fontId="0" fillId="0" borderId="0" xfId="0" applyBorder="1"/>
    <xf numFmtId="0" fontId="1" fillId="2" borderId="24" xfId="1" applyBorder="1"/>
    <xf numFmtId="0" fontId="1" fillId="2" borderId="25" xfId="1" applyBorder="1"/>
    <xf numFmtId="0" fontId="0" fillId="0" borderId="26" xfId="0" applyBorder="1"/>
    <xf numFmtId="0" fontId="0" fillId="0" borderId="18" xfId="0" applyBorder="1"/>
    <xf numFmtId="166" fontId="1" fillId="2" borderId="3" xfId="1" applyNumberFormat="1" applyBorder="1"/>
    <xf numFmtId="166" fontId="0" fillId="0" borderId="26" xfId="0" applyNumberFormat="1" applyBorder="1"/>
    <xf numFmtId="2" fontId="1" fillId="2" borderId="1" xfId="1" applyNumberFormat="1" applyBorder="1"/>
    <xf numFmtId="2" fontId="0" fillId="0" borderId="26" xfId="0" applyNumberFormat="1" applyBorder="1"/>
    <xf numFmtId="164" fontId="1" fillId="2" borderId="1" xfId="1" applyNumberFormat="1" applyBorder="1"/>
    <xf numFmtId="2" fontId="1" fillId="2" borderId="23" xfId="1" applyNumberFormat="1" applyBorder="1"/>
    <xf numFmtId="0" fontId="10" fillId="0" borderId="27" xfId="0" applyFont="1" applyBorder="1"/>
    <xf numFmtId="0" fontId="10" fillId="0" borderId="28" xfId="0" applyFont="1" applyBorder="1"/>
    <xf numFmtId="0" fontId="10" fillId="0" borderId="29" xfId="0" applyFont="1" applyBorder="1"/>
    <xf numFmtId="0" fontId="11" fillId="3" borderId="3" xfId="2" applyFont="1" applyBorder="1"/>
    <xf numFmtId="164" fontId="10" fillId="0" borderId="3" xfId="0" applyNumberFormat="1" applyFont="1" applyBorder="1"/>
    <xf numFmtId="0" fontId="10" fillId="0" borderId="0" xfId="0" applyFont="1" applyBorder="1"/>
    <xf numFmtId="0" fontId="11" fillId="3" borderId="25" xfId="2" applyFont="1" applyBorder="1"/>
    <xf numFmtId="0" fontId="10" fillId="0" borderId="31" xfId="0" applyFont="1" applyBorder="1"/>
    <xf numFmtId="0" fontId="11" fillId="3" borderId="19" xfId="2" applyFont="1" applyBorder="1"/>
    <xf numFmtId="164" fontId="10" fillId="0" borderId="20" xfId="0" applyNumberFormat="1" applyFont="1" applyBorder="1"/>
    <xf numFmtId="0" fontId="11" fillId="3" borderId="20" xfId="2" applyFont="1" applyBorder="1"/>
    <xf numFmtId="164" fontId="10" fillId="0" borderId="21" xfId="0" applyNumberFormat="1" applyFont="1" applyBorder="1"/>
    <xf numFmtId="0" fontId="11" fillId="3" borderId="22" xfId="2" applyFont="1" applyBorder="1"/>
    <xf numFmtId="164" fontId="10" fillId="0" borderId="30" xfId="0" applyNumberFormat="1" applyFont="1" applyBorder="1"/>
    <xf numFmtId="0" fontId="11" fillId="3" borderId="24" xfId="2" applyFont="1" applyBorder="1"/>
    <xf numFmtId="164" fontId="10" fillId="0" borderId="25" xfId="0" applyNumberFormat="1" applyFont="1" applyBorder="1"/>
    <xf numFmtId="164" fontId="10" fillId="0" borderId="31" xfId="0" applyNumberFormat="1" applyFont="1" applyBorder="1"/>
    <xf numFmtId="0" fontId="10" fillId="0" borderId="19" xfId="0" applyFont="1" applyBorder="1"/>
    <xf numFmtId="0" fontId="10" fillId="0" borderId="21" xfId="0" applyFont="1" applyBorder="1"/>
    <xf numFmtId="0" fontId="10" fillId="0" borderId="24" xfId="0" applyFont="1" applyBorder="1"/>
    <xf numFmtId="0" fontId="12" fillId="4" borderId="0" xfId="3" applyFont="1"/>
    <xf numFmtId="0" fontId="13" fillId="0" borderId="0" xfId="0" applyFont="1"/>
    <xf numFmtId="0" fontId="14" fillId="0" borderId="0" xfId="0" applyFont="1"/>
    <xf numFmtId="165" fontId="13" fillId="0" borderId="0" xfId="0" applyNumberFormat="1" applyFont="1"/>
    <xf numFmtId="0" fontId="1" fillId="2" borderId="32" xfId="1" applyBorder="1"/>
    <xf numFmtId="0" fontId="13" fillId="0" borderId="33" xfId="0" applyFont="1" applyBorder="1"/>
    <xf numFmtId="0" fontId="13" fillId="0" borderId="34" xfId="0" applyFont="1" applyBorder="1"/>
    <xf numFmtId="165" fontId="13" fillId="0" borderId="33" xfId="0" applyNumberFormat="1" applyFont="1" applyBorder="1"/>
    <xf numFmtId="165" fontId="13" fillId="0" borderId="34" xfId="0" applyNumberFormat="1" applyFont="1" applyBorder="1"/>
    <xf numFmtId="165" fontId="13" fillId="0" borderId="35" xfId="0" applyNumberFormat="1" applyFont="1" applyBorder="1"/>
    <xf numFmtId="165" fontId="13" fillId="0" borderId="18" xfId="0" applyNumberFormat="1" applyFont="1" applyBorder="1"/>
    <xf numFmtId="0" fontId="10" fillId="0" borderId="0" xfId="0" applyFont="1"/>
    <xf numFmtId="0" fontId="15" fillId="2" borderId="3" xfId="1" applyFont="1" applyBorder="1"/>
    <xf numFmtId="0" fontId="10" fillId="0" borderId="3" xfId="0" applyFont="1" applyBorder="1"/>
    <xf numFmtId="165" fontId="10" fillId="0" borderId="3" xfId="0" applyNumberFormat="1" applyFont="1" applyBorder="1"/>
    <xf numFmtId="0" fontId="10" fillId="0" borderId="20" xfId="0" applyFont="1" applyBorder="1"/>
    <xf numFmtId="0" fontId="10" fillId="0" borderId="30" xfId="0" applyFont="1" applyBorder="1"/>
    <xf numFmtId="0" fontId="10" fillId="0" borderId="22" xfId="0" applyFont="1" applyBorder="1"/>
    <xf numFmtId="0" fontId="10" fillId="0" borderId="25" xfId="0" applyFont="1" applyBorder="1"/>
    <xf numFmtId="0" fontId="5" fillId="5" borderId="0" xfId="4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2" fillId="4" borderId="27" xfId="3" applyFont="1" applyBorder="1" applyAlignment="1">
      <alignment horizontal="center"/>
    </xf>
    <xf numFmtId="0" fontId="12" fillId="4" borderId="29" xfId="3" applyFont="1" applyBorder="1" applyAlignment="1">
      <alignment horizontal="center"/>
    </xf>
  </cellXfs>
  <cellStyles count="5">
    <cellStyle name="Akcent 1" xfId="4" builtinId="29"/>
    <cellStyle name="Dane wejściowe" xfId="1" builtinId="20"/>
    <cellStyle name="Dobre" xfId="2" builtinId="26"/>
    <cellStyle name="Neutralne" xfId="3" builtinId="28"/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pl-PL"/>
              <a:t>Wykres fazowy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8.7570808823664248E-2"/>
          <c:y val="0.13297996841303927"/>
          <c:w val="0.63561689178987679"/>
          <c:h val="0.74506709388599168"/>
        </c:manualLayout>
      </c:layout>
      <c:scatterChart>
        <c:scatterStyle val="smoothMarker"/>
        <c:ser>
          <c:idx val="0"/>
          <c:order val="0"/>
          <c:tx>
            <c:v>p kr do krikodenterm</c:v>
          </c:tx>
          <c:marker>
            <c:symbol val="none"/>
          </c:marker>
          <c:xVal>
            <c:numRef>
              <c:f>'Flash calculations'!$A$30:$A$80</c:f>
              <c:numCache>
                <c:formatCode>General</c:formatCode>
                <c:ptCount val="5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528</c:v>
                </c:pt>
              </c:numCache>
            </c:numRef>
          </c:xVal>
          <c:yVal>
            <c:numRef>
              <c:f>'Flash calculations'!$B$30:$B$80</c:f>
              <c:numCache>
                <c:formatCode>General</c:formatCode>
                <c:ptCount val="51"/>
                <c:pt idx="0">
                  <c:v>19.62890625</c:v>
                </c:pt>
                <c:pt idx="1">
                  <c:v>20.05859375</c:v>
                </c:pt>
                <c:pt idx="2">
                  <c:v>20.44921875</c:v>
                </c:pt>
                <c:pt idx="3">
                  <c:v>20.80078125</c:v>
                </c:pt>
                <c:pt idx="4">
                  <c:v>21.123046875</c:v>
                </c:pt>
                <c:pt idx="5">
                  <c:v>21.40625</c:v>
                </c:pt>
                <c:pt idx="6">
                  <c:v>21.66015625</c:v>
                </c:pt>
                <c:pt idx="7">
                  <c:v>21.884765625</c:v>
                </c:pt>
                <c:pt idx="8">
                  <c:v>22.080078125</c:v>
                </c:pt>
                <c:pt idx="9">
                  <c:v>22.24609375</c:v>
                </c:pt>
                <c:pt idx="10">
                  <c:v>22.3828125</c:v>
                </c:pt>
                <c:pt idx="11">
                  <c:v>22.490234375</c:v>
                </c:pt>
                <c:pt idx="12">
                  <c:v>22.568359375</c:v>
                </c:pt>
                <c:pt idx="13">
                  <c:v>22.6171875</c:v>
                </c:pt>
                <c:pt idx="14">
                  <c:v>22.646484375</c:v>
                </c:pt>
                <c:pt idx="15">
                  <c:v>22.6513671875</c:v>
                </c:pt>
                <c:pt idx="16">
                  <c:v>22.6318359375</c:v>
                </c:pt>
                <c:pt idx="17">
                  <c:v>22.5830078125</c:v>
                </c:pt>
                <c:pt idx="18">
                  <c:v>22.5146484375</c:v>
                </c:pt>
                <c:pt idx="19">
                  <c:v>22.4267578125</c:v>
                </c:pt>
                <c:pt idx="20">
                  <c:v>22.314453125</c:v>
                </c:pt>
                <c:pt idx="21">
                  <c:v>22.177734375</c:v>
                </c:pt>
                <c:pt idx="22">
                  <c:v>22.02392578125</c:v>
                </c:pt>
                <c:pt idx="23">
                  <c:v>21.845703125</c:v>
                </c:pt>
                <c:pt idx="24">
                  <c:v>21.650390625</c:v>
                </c:pt>
                <c:pt idx="25">
                  <c:v>21.43310546875</c:v>
                </c:pt>
                <c:pt idx="26">
                  <c:v>21.19384765625</c:v>
                </c:pt>
                <c:pt idx="27">
                  <c:v>21.258640289306641</c:v>
                </c:pt>
                <c:pt idx="28">
                  <c:v>20.981807708740234</c:v>
                </c:pt>
                <c:pt idx="29">
                  <c:v>20.360107421875</c:v>
                </c:pt>
                <c:pt idx="30">
                  <c:v>20.39154052734375</c:v>
                </c:pt>
                <c:pt idx="31">
                  <c:v>20.070724487304687</c:v>
                </c:pt>
                <c:pt idx="32">
                  <c:v>19.725837707519531</c:v>
                </c:pt>
                <c:pt idx="33">
                  <c:v>19.05487060546875</c:v>
                </c:pt>
                <c:pt idx="34">
                  <c:v>18.939895629882813</c:v>
                </c:pt>
                <c:pt idx="35">
                  <c:v>18.194580078125</c:v>
                </c:pt>
                <c:pt idx="36">
                  <c:v>17.626953125</c:v>
                </c:pt>
                <c:pt idx="37">
                  <c:v>17.07672119140625</c:v>
                </c:pt>
                <c:pt idx="38">
                  <c:v>16.5185546875</c:v>
                </c:pt>
                <c:pt idx="39">
                  <c:v>15.9344482421875</c:v>
                </c:pt>
                <c:pt idx="40">
                  <c:v>15.3076171875</c:v>
                </c:pt>
                <c:pt idx="41">
                  <c:v>14.619140625</c:v>
                </c:pt>
                <c:pt idx="42">
                  <c:v>13.8525390625</c:v>
                </c:pt>
                <c:pt idx="43">
                  <c:v>12.978515625</c:v>
                </c:pt>
                <c:pt idx="44">
                  <c:v>11.923828125</c:v>
                </c:pt>
                <c:pt idx="45">
                  <c:v>10.5078125</c:v>
                </c:pt>
                <c:pt idx="46">
                  <c:v>9.0966796875</c:v>
                </c:pt>
              </c:numCache>
            </c:numRef>
          </c:yVal>
          <c:smooth val="1"/>
        </c:ser>
        <c:ser>
          <c:idx val="2"/>
          <c:order val="1"/>
          <c:tx>
            <c:v>pkr od krikodenterm</c:v>
          </c:tx>
          <c:marker>
            <c:symbol val="none"/>
          </c:marker>
          <c:xVal>
            <c:numRef>
              <c:f>'Flash calculations'!$F$30:$F$80</c:f>
              <c:numCache>
                <c:formatCode>General</c:formatCode>
                <c:ptCount val="5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395</c:v>
                </c:pt>
                <c:pt idx="19">
                  <c:v>400</c:v>
                </c:pt>
                <c:pt idx="20">
                  <c:v>405</c:v>
                </c:pt>
                <c:pt idx="21">
                  <c:v>410</c:v>
                </c:pt>
                <c:pt idx="22">
                  <c:v>415</c:v>
                </c:pt>
                <c:pt idx="23">
                  <c:v>420</c:v>
                </c:pt>
                <c:pt idx="24">
                  <c:v>425</c:v>
                </c:pt>
                <c:pt idx="25">
                  <c:v>430</c:v>
                </c:pt>
                <c:pt idx="26">
                  <c:v>435</c:v>
                </c:pt>
                <c:pt idx="27">
                  <c:v>440</c:v>
                </c:pt>
                <c:pt idx="28">
                  <c:v>445</c:v>
                </c:pt>
                <c:pt idx="29">
                  <c:v>450</c:v>
                </c:pt>
                <c:pt idx="30">
                  <c:v>455</c:v>
                </c:pt>
                <c:pt idx="31">
                  <c:v>460</c:v>
                </c:pt>
                <c:pt idx="32">
                  <c:v>465</c:v>
                </c:pt>
                <c:pt idx="33">
                  <c:v>470</c:v>
                </c:pt>
                <c:pt idx="34">
                  <c:v>475</c:v>
                </c:pt>
                <c:pt idx="35">
                  <c:v>480</c:v>
                </c:pt>
                <c:pt idx="36">
                  <c:v>485</c:v>
                </c:pt>
                <c:pt idx="37">
                  <c:v>490</c:v>
                </c:pt>
                <c:pt idx="38">
                  <c:v>495</c:v>
                </c:pt>
                <c:pt idx="39">
                  <c:v>500</c:v>
                </c:pt>
                <c:pt idx="40">
                  <c:v>505</c:v>
                </c:pt>
                <c:pt idx="41">
                  <c:v>508</c:v>
                </c:pt>
                <c:pt idx="42">
                  <c:v>515</c:v>
                </c:pt>
                <c:pt idx="43">
                  <c:v>520</c:v>
                </c:pt>
                <c:pt idx="44">
                  <c:v>525</c:v>
                </c:pt>
                <c:pt idx="45">
                  <c:v>528</c:v>
                </c:pt>
              </c:numCache>
            </c:numRef>
          </c:xVal>
          <c:yVal>
            <c:numRef>
              <c:f>'Flash calculations'!$G$30:$G$80</c:f>
              <c:numCache>
                <c:formatCode>General</c:formatCode>
                <c:ptCount val="51"/>
                <c:pt idx="0">
                  <c:v>0.24244678740246262</c:v>
                </c:pt>
                <c:pt idx="1">
                  <c:v>0.25255668454263303</c:v>
                </c:pt>
                <c:pt idx="2">
                  <c:v>0.26304880573738187</c:v>
                </c:pt>
                <c:pt idx="3">
                  <c:v>0.27393066162275892</c:v>
                </c:pt>
                <c:pt idx="4">
                  <c:v>0.285210507511371</c:v>
                </c:pt>
                <c:pt idx="5">
                  <c:v>0.29689729048018987</c:v>
                </c:pt>
                <c:pt idx="6">
                  <c:v>0.30900059815931713</c:v>
                </c:pt>
                <c:pt idx="7">
                  <c:v>0.32153061100260982</c:v>
                </c:pt>
                <c:pt idx="8">
                  <c:v>0.33449805967680168</c:v>
                </c:pt>
                <c:pt idx="9">
                  <c:v>0.3479141889433891</c:v>
                </c:pt>
                <c:pt idx="10">
                  <c:v>0.3617907290061354</c:v>
                </c:pt>
                <c:pt idx="11">
                  <c:v>0.37613987478300981</c:v>
                </c:pt>
                <c:pt idx="12">
                  <c:v>0.39097427295773157</c:v>
                </c:pt>
                <c:pt idx="13">
                  <c:v>0.40630701594683893</c:v>
                </c:pt>
                <c:pt idx="14">
                  <c:v>0.42215126035537331</c:v>
                </c:pt>
                <c:pt idx="15">
                  <c:v>0.43852213101270587</c:v>
                </c:pt>
                <c:pt idx="16">
                  <c:v>0.45543291218165727</c:v>
                </c:pt>
                <c:pt idx="17">
                  <c:v>0.47289883831266255</c:v>
                </c:pt>
                <c:pt idx="18">
                  <c:v>0.50955736667290896</c:v>
                </c:pt>
                <c:pt idx="19">
                  <c:v>0.52878112273897337</c:v>
                </c:pt>
                <c:pt idx="20">
                  <c:v>0.54862180355145829</c:v>
                </c:pt>
                <c:pt idx="21">
                  <c:v>0.56911413306867664</c:v>
                </c:pt>
                <c:pt idx="22">
                  <c:v>0.59025323742387337</c:v>
                </c:pt>
                <c:pt idx="23">
                  <c:v>0.61206678057589925</c:v>
                </c:pt>
                <c:pt idx="24">
                  <c:v>0.63457421028989613</c:v>
                </c:pt>
                <c:pt idx="25">
                  <c:v>0.65779565283447639</c:v>
                </c:pt>
                <c:pt idx="26">
                  <c:v>0.68175192706402621</c:v>
                </c:pt>
                <c:pt idx="27">
                  <c:v>0.70646453551361743</c:v>
                </c:pt>
                <c:pt idx="28">
                  <c:v>0.73195560383827796</c:v>
                </c:pt>
                <c:pt idx="29">
                  <c:v>0.75824771452040363</c:v>
                </c:pt>
                <c:pt idx="30">
                  <c:v>0.78536354423959054</c:v>
                </c:pt>
                <c:pt idx="31">
                  <c:v>0.888671875</c:v>
                </c:pt>
                <c:pt idx="32">
                  <c:v>1.015625</c:v>
                </c:pt>
                <c:pt idx="33">
                  <c:v>1.1572265625</c:v>
                </c:pt>
                <c:pt idx="34">
                  <c:v>1.318359375</c:v>
                </c:pt>
                <c:pt idx="35">
                  <c:v>1.50390625</c:v>
                </c:pt>
                <c:pt idx="36">
                  <c:v>1.708984375</c:v>
                </c:pt>
                <c:pt idx="37">
                  <c:v>1.943359375</c:v>
                </c:pt>
                <c:pt idx="38">
                  <c:v>2.216796875</c:v>
                </c:pt>
                <c:pt idx="39">
                  <c:v>2.5390625</c:v>
                </c:pt>
                <c:pt idx="40">
                  <c:v>2.91015625</c:v>
                </c:pt>
                <c:pt idx="41">
                  <c:v>3.1640625</c:v>
                </c:pt>
                <c:pt idx="42">
                  <c:v>3.90625</c:v>
                </c:pt>
                <c:pt idx="43">
                  <c:v>4.6484375</c:v>
                </c:pt>
                <c:pt idx="44">
                  <c:v>5.703125</c:v>
                </c:pt>
                <c:pt idx="45">
                  <c:v>9.0966796875</c:v>
                </c:pt>
              </c:numCache>
            </c:numRef>
          </c:yVal>
          <c:smooth val="1"/>
        </c:ser>
        <c:axId val="125920000"/>
        <c:axId val="125931904"/>
      </c:scatterChart>
      <c:valAx>
        <c:axId val="125920000"/>
        <c:scaling>
          <c:orientation val="minMax"/>
          <c:max val="550"/>
          <c:min val="28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K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25931904"/>
        <c:crosses val="autoZero"/>
        <c:crossBetween val="midCat"/>
      </c:valAx>
      <c:valAx>
        <c:axId val="125931904"/>
        <c:scaling>
          <c:orientation val="minMax"/>
          <c:max val="3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MPa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25920000"/>
        <c:crosses val="autoZero"/>
        <c:crossBetween val="midCat"/>
      </c:valAx>
    </c:plotArea>
    <c:plotVisOnly val="1"/>
    <c:dispBlanksAs val="gap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114300</xdr:rowOff>
    </xdr:from>
    <xdr:to>
      <xdr:col>16</xdr:col>
      <xdr:colOff>676275</xdr:colOff>
      <xdr:row>6</xdr:row>
      <xdr:rowOff>28575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48775" y="657225"/>
          <a:ext cx="3086100" cy="457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76200</xdr:colOff>
      <xdr:row>25</xdr:row>
      <xdr:rowOff>28575</xdr:rowOff>
    </xdr:from>
    <xdr:to>
      <xdr:col>3</xdr:col>
      <xdr:colOff>95250</xdr:colOff>
      <xdr:row>28</xdr:row>
      <xdr:rowOff>114301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6200" y="4552950"/>
          <a:ext cx="3067050" cy="6286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257175</xdr:colOff>
      <xdr:row>34</xdr:row>
      <xdr:rowOff>104775</xdr:rowOff>
    </xdr:from>
    <xdr:to>
      <xdr:col>7</xdr:col>
      <xdr:colOff>428625</xdr:colOff>
      <xdr:row>38</xdr:row>
      <xdr:rowOff>142875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105275" y="6257925"/>
          <a:ext cx="3209925" cy="762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295275</xdr:colOff>
      <xdr:row>43</xdr:row>
      <xdr:rowOff>114300</xdr:rowOff>
    </xdr:from>
    <xdr:to>
      <xdr:col>5</xdr:col>
      <xdr:colOff>114300</xdr:colOff>
      <xdr:row>47</xdr:row>
      <xdr:rowOff>114299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733550" y="7896225"/>
          <a:ext cx="2733675" cy="723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9525</xdr:colOff>
      <xdr:row>55</xdr:row>
      <xdr:rowOff>123825</xdr:rowOff>
    </xdr:from>
    <xdr:to>
      <xdr:col>3</xdr:col>
      <xdr:colOff>238125</xdr:colOff>
      <xdr:row>76</xdr:row>
      <xdr:rowOff>171450</xdr:rowOff>
    </xdr:to>
    <xdr:pic>
      <xdr:nvPicPr>
        <xdr:cNvPr id="8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9525" y="10077450"/>
          <a:ext cx="3276600" cy="38481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571500</xdr:colOff>
      <xdr:row>55</xdr:row>
      <xdr:rowOff>47625</xdr:rowOff>
    </xdr:from>
    <xdr:to>
      <xdr:col>7</xdr:col>
      <xdr:colOff>809625</xdr:colOff>
      <xdr:row>67</xdr:row>
      <xdr:rowOff>85724</xdr:rowOff>
    </xdr:to>
    <xdr:pic>
      <xdr:nvPicPr>
        <xdr:cNvPr id="9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3409950" y="10001250"/>
          <a:ext cx="3276600" cy="22098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104775</xdr:colOff>
      <xdr:row>102</xdr:row>
      <xdr:rowOff>19050</xdr:rowOff>
    </xdr:from>
    <xdr:to>
      <xdr:col>1</xdr:col>
      <xdr:colOff>523875</xdr:colOff>
      <xdr:row>106</xdr:row>
      <xdr:rowOff>161926</xdr:rowOff>
    </xdr:to>
    <xdr:pic>
      <xdr:nvPicPr>
        <xdr:cNvPr id="1031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04775" y="18478500"/>
          <a:ext cx="1590675" cy="8667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47625</xdr:colOff>
      <xdr:row>117</xdr:row>
      <xdr:rowOff>19050</xdr:rowOff>
    </xdr:from>
    <xdr:to>
      <xdr:col>1</xdr:col>
      <xdr:colOff>314325</xdr:colOff>
      <xdr:row>119</xdr:row>
      <xdr:rowOff>19051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7625" y="21193125"/>
          <a:ext cx="1438275" cy="361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10</xdr:col>
      <xdr:colOff>571500</xdr:colOff>
      <xdr:row>106</xdr:row>
      <xdr:rowOff>66675</xdr:rowOff>
    </xdr:from>
    <xdr:to>
      <xdr:col>14</xdr:col>
      <xdr:colOff>542925</xdr:colOff>
      <xdr:row>127</xdr:row>
      <xdr:rowOff>114300</xdr:rowOff>
    </xdr:to>
    <xdr:pic>
      <xdr:nvPicPr>
        <xdr:cNvPr id="10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8429625" y="19250025"/>
          <a:ext cx="3276600" cy="38481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457200</xdr:colOff>
      <xdr:row>156</xdr:row>
      <xdr:rowOff>133350</xdr:rowOff>
    </xdr:from>
    <xdr:to>
      <xdr:col>3</xdr:col>
      <xdr:colOff>352425</xdr:colOff>
      <xdr:row>158</xdr:row>
      <xdr:rowOff>152400</xdr:rowOff>
    </xdr:to>
    <xdr:pic>
      <xdr:nvPicPr>
        <xdr:cNvPr id="102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457200" y="28394025"/>
          <a:ext cx="2943225" cy="381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219075</xdr:colOff>
      <xdr:row>145</xdr:row>
      <xdr:rowOff>76200</xdr:rowOff>
    </xdr:from>
    <xdr:to>
      <xdr:col>3</xdr:col>
      <xdr:colOff>590550</xdr:colOff>
      <xdr:row>156</xdr:row>
      <xdr:rowOff>9525</xdr:rowOff>
    </xdr:to>
    <xdr:pic>
      <xdr:nvPicPr>
        <xdr:cNvPr id="2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219075" y="26346150"/>
          <a:ext cx="3419475" cy="1924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371475</xdr:colOff>
      <xdr:row>142</xdr:row>
      <xdr:rowOff>76200</xdr:rowOff>
    </xdr:from>
    <xdr:to>
      <xdr:col>6</xdr:col>
      <xdr:colOff>219075</xdr:colOff>
      <xdr:row>147</xdr:row>
      <xdr:rowOff>104774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219575" y="25803225"/>
          <a:ext cx="2009775" cy="9334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628650</xdr:colOff>
      <xdr:row>148</xdr:row>
      <xdr:rowOff>133350</xdr:rowOff>
    </xdr:from>
    <xdr:to>
      <xdr:col>6</xdr:col>
      <xdr:colOff>190500</xdr:colOff>
      <xdr:row>151</xdr:row>
      <xdr:rowOff>114301</xdr:rowOff>
    </xdr:to>
    <xdr:pic>
      <xdr:nvPicPr>
        <xdr:cNvPr id="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4476750" y="26946225"/>
          <a:ext cx="172402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219075</xdr:colOff>
      <xdr:row>152</xdr:row>
      <xdr:rowOff>123825</xdr:rowOff>
    </xdr:from>
    <xdr:to>
      <xdr:col>7</xdr:col>
      <xdr:colOff>104775</xdr:colOff>
      <xdr:row>158</xdr:row>
      <xdr:rowOff>57150</xdr:rowOff>
    </xdr:to>
    <xdr:pic>
      <xdr:nvPicPr>
        <xdr:cNvPr id="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4067175" y="27660600"/>
          <a:ext cx="2924175" cy="1019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447675</xdr:colOff>
      <xdr:row>159</xdr:row>
      <xdr:rowOff>95250</xdr:rowOff>
    </xdr:from>
    <xdr:to>
      <xdr:col>5</xdr:col>
      <xdr:colOff>142875</xdr:colOff>
      <xdr:row>161</xdr:row>
      <xdr:rowOff>171449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4295775" y="28898850"/>
          <a:ext cx="866775" cy="438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9525</xdr:colOff>
      <xdr:row>165</xdr:row>
      <xdr:rowOff>66675</xdr:rowOff>
    </xdr:from>
    <xdr:to>
      <xdr:col>8</xdr:col>
      <xdr:colOff>295275</xdr:colOff>
      <xdr:row>171</xdr:row>
      <xdr:rowOff>38100</xdr:rowOff>
    </xdr:to>
    <xdr:pic>
      <xdr:nvPicPr>
        <xdr:cNvPr id="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3057525" y="29956125"/>
          <a:ext cx="5172075" cy="10572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457200</xdr:colOff>
      <xdr:row>164</xdr:row>
      <xdr:rowOff>9525</xdr:rowOff>
    </xdr:from>
    <xdr:to>
      <xdr:col>2</xdr:col>
      <xdr:colOff>390525</xdr:colOff>
      <xdr:row>180</xdr:row>
      <xdr:rowOff>95250</xdr:rowOff>
    </xdr:to>
    <xdr:pic>
      <xdr:nvPicPr>
        <xdr:cNvPr id="1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457200" y="29718000"/>
          <a:ext cx="2266950" cy="2981325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63022</xdr:colOff>
      <xdr:row>51</xdr:row>
      <xdr:rowOff>27214</xdr:rowOff>
    </xdr:from>
    <xdr:to>
      <xdr:col>25</xdr:col>
      <xdr:colOff>408215</xdr:colOff>
      <xdr:row>73</xdr:row>
      <xdr:rowOff>141514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5656808" y="9048750"/>
          <a:ext cx="5270978" cy="400594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238123</xdr:colOff>
      <xdr:row>23</xdr:row>
      <xdr:rowOff>66674</xdr:rowOff>
    </xdr:from>
    <xdr:to>
      <xdr:col>17</xdr:col>
      <xdr:colOff>136070</xdr:colOff>
      <xdr:row>49</xdr:row>
      <xdr:rowOff>68035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200025</xdr:colOff>
      <xdr:row>28</xdr:row>
      <xdr:rowOff>85725</xdr:rowOff>
    </xdr:from>
    <xdr:to>
      <xdr:col>24</xdr:col>
      <xdr:colOff>609600</xdr:colOff>
      <xdr:row>41</xdr:row>
      <xdr:rowOff>9525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44450" y="5153025"/>
          <a:ext cx="5829300" cy="2286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352425</xdr:colOff>
      <xdr:row>1</xdr:row>
      <xdr:rowOff>171450</xdr:rowOff>
    </xdr:from>
    <xdr:to>
      <xdr:col>10</xdr:col>
      <xdr:colOff>523875</xdr:colOff>
      <xdr:row>19</xdr:row>
      <xdr:rowOff>171450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95625" y="352425"/>
          <a:ext cx="4286250" cy="32575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AM175"/>
  <sheetViews>
    <sheetView tabSelected="1" zoomScale="70" zoomScaleNormal="70" workbookViewId="0">
      <selection sqref="A1:B1"/>
    </sheetView>
  </sheetViews>
  <sheetFormatPr defaultRowHeight="14.25"/>
  <cols>
    <col min="1" max="1" width="15.375" customWidth="1"/>
    <col min="2" max="2" width="15.25" customWidth="1"/>
    <col min="3" max="3" width="9.375" bestFit="1" customWidth="1"/>
    <col min="4" max="4" width="13.5" customWidth="1"/>
    <col min="5" max="5" width="15.375" customWidth="1"/>
    <col min="6" max="6" width="13" bestFit="1" customWidth="1"/>
    <col min="7" max="7" width="11.5" customWidth="1"/>
    <col min="8" max="8" width="10.75" customWidth="1"/>
    <col min="9" max="9" width="9.25" bestFit="1" customWidth="1"/>
    <col min="11" max="11" width="15" customWidth="1"/>
    <col min="14" max="14" width="10.375" customWidth="1"/>
    <col min="15" max="15" width="12.25" bestFit="1" customWidth="1"/>
    <col min="24" max="24" width="11" bestFit="1" customWidth="1"/>
    <col min="27" max="27" width="10.875" customWidth="1"/>
    <col min="30" max="30" width="7.625" bestFit="1" customWidth="1"/>
    <col min="35" max="35" width="8" customWidth="1"/>
    <col min="39" max="39" width="13.125" customWidth="1"/>
  </cols>
  <sheetData>
    <row r="1" spans="1:39">
      <c r="A1" s="92" t="s">
        <v>0</v>
      </c>
      <c r="B1" s="92"/>
      <c r="AG1" s="84" t="s">
        <v>277</v>
      </c>
      <c r="AH1" s="85" t="s">
        <v>278</v>
      </c>
      <c r="AI1" s="85" t="s">
        <v>163</v>
      </c>
      <c r="AJ1" s="85" t="s">
        <v>279</v>
      </c>
      <c r="AK1" s="85" t="s">
        <v>280</v>
      </c>
      <c r="AL1" s="85" t="s">
        <v>281</v>
      </c>
      <c r="AM1" s="85" t="s">
        <v>282</v>
      </c>
    </row>
    <row r="2" spans="1:39">
      <c r="A2" t="s">
        <v>1</v>
      </c>
      <c r="U2" t="s">
        <v>231</v>
      </c>
      <c r="V2">
        <f>V3-273.15</f>
        <v>126.85000000000002</v>
      </c>
      <c r="X2" t="s">
        <v>19</v>
      </c>
      <c r="Y2" t="s">
        <v>8</v>
      </c>
      <c r="Z2">
        <v>273.14999999999998</v>
      </c>
      <c r="AG2" s="84" t="s">
        <v>11</v>
      </c>
      <c r="AH2" s="86">
        <v>8.2479999999999998E-2</v>
      </c>
      <c r="AI2" s="86">
        <f>0.20473+0.83548*K9-0.1847*K9^2+0.16675*K9^3-0.09881*K9^4</f>
        <v>0.21431384530271316</v>
      </c>
      <c r="AJ2" s="86">
        <f>0.00185+0.00438*K9+0.36322*K9^2-0.90831*K9^3+0.55885*K9^4</f>
        <v>1.9470341933501784E-3</v>
      </c>
      <c r="AK2" s="86">
        <f>-0.00542-0.51112*AL2+0.04533*AL2^2+0.07447*AL2^3-0.03831*AL2^4</f>
        <v>-0.11003457942904071</v>
      </c>
      <c r="AL2" s="86">
        <v>0.20977999999999999</v>
      </c>
      <c r="AM2" s="85">
        <f>$Z$4*J9/(I9*1000000)*(AJ2+AK2*(1-M9^(2/3))+AL2*(1-M9^(2/3))^2)</f>
        <v>8.6609360640087099E-5</v>
      </c>
    </row>
    <row r="3" spans="1:39">
      <c r="A3" t="s">
        <v>2</v>
      </c>
      <c r="B3" t="s">
        <v>3</v>
      </c>
      <c r="U3" t="s">
        <v>228</v>
      </c>
      <c r="V3">
        <v>400</v>
      </c>
      <c r="X3" t="s">
        <v>224</v>
      </c>
      <c r="Y3" t="s">
        <v>185</v>
      </c>
      <c r="Z3">
        <v>101325</v>
      </c>
      <c r="AG3" s="84" t="s">
        <v>12</v>
      </c>
      <c r="AH3" s="86">
        <v>0.11292000000000001</v>
      </c>
      <c r="AI3" s="86">
        <f t="shared" ref="AI3:AI10" si="0">0.20473+0.83548*K10-0.1847*K10^2+0.16675*K10^3-0.09881*K10^4</f>
        <v>0.29060010605149372</v>
      </c>
      <c r="AJ3" s="86">
        <f t="shared" ref="AJ3:AJ10" si="1">0.00185+0.00438*K10+0.36322*K10^2-0.90831*K10^3+0.55885*K10^4</f>
        <v>5.3308467030312489E-3</v>
      </c>
      <c r="AK3" s="86">
        <f t="shared" ref="AK3:AK10" si="2">-0.00542-0.51112*AL3+0.04533*AL3^2+0.07447*AL3^3-0.03831*AL3^4</f>
        <v>-0.10566995175365224</v>
      </c>
      <c r="AL3" s="86">
        <v>0.20077</v>
      </c>
      <c r="AM3" s="85">
        <f t="shared" ref="AM3:AM10" si="3">$Z$4*J10/(I10*1000000)*(AJ3+AK3*(1-M10^(2/3))+AL3*(1-M10^(2/3))^2)</f>
        <v>3.599096957005689E-5</v>
      </c>
    </row>
    <row r="4" spans="1:39">
      <c r="U4" t="s">
        <v>229</v>
      </c>
      <c r="V4">
        <f>V3*1.8-459.67</f>
        <v>260.33</v>
      </c>
      <c r="X4" t="s">
        <v>225</v>
      </c>
      <c r="Y4" t="s">
        <v>167</v>
      </c>
      <c r="Z4">
        <v>8.3146000000000004</v>
      </c>
      <c r="AG4" s="84" t="s">
        <v>13</v>
      </c>
      <c r="AH4" s="86">
        <v>0.16846</v>
      </c>
      <c r="AI4" s="86">
        <f t="shared" si="0"/>
        <v>0.32798850091823106</v>
      </c>
      <c r="AJ4" s="86">
        <f t="shared" si="1"/>
        <v>8.0160957884415993E-3</v>
      </c>
      <c r="AK4" s="86">
        <f t="shared" si="2"/>
        <v>-0.118266945844255</v>
      </c>
      <c r="AL4" s="86">
        <v>0.22685</v>
      </c>
      <c r="AM4" s="85">
        <f t="shared" si="3"/>
        <v>2.9103788608565019E-5</v>
      </c>
    </row>
    <row r="5" spans="1:39">
      <c r="U5" t="s">
        <v>230</v>
      </c>
      <c r="V5">
        <f>V3*1.8</f>
        <v>720</v>
      </c>
      <c r="AG5" s="84" t="s">
        <v>14</v>
      </c>
      <c r="AH5" s="86">
        <v>0.18381</v>
      </c>
      <c r="AI5" s="86">
        <f t="shared" si="0"/>
        <v>0.35937933873025024</v>
      </c>
      <c r="AJ5" s="86">
        <f t="shared" si="1"/>
        <v>1.04112373508096E-2</v>
      </c>
      <c r="AK5" s="86">
        <f t="shared" si="2"/>
        <v>-0.13201600470322999</v>
      </c>
      <c r="AL5" s="86">
        <v>0.25558999999999998</v>
      </c>
      <c r="AM5" s="85">
        <f t="shared" si="3"/>
        <v>2.8196287347695794E-5</v>
      </c>
    </row>
    <row r="6" spans="1:39">
      <c r="AG6" s="84" t="s">
        <v>15</v>
      </c>
      <c r="AH6" s="86">
        <v>0.15545999999999999</v>
      </c>
      <c r="AI6" s="86">
        <f t="shared" si="0"/>
        <v>0.36561390399999999</v>
      </c>
      <c r="AJ6" s="86">
        <f t="shared" si="1"/>
        <v>1.0882480000000002E-2</v>
      </c>
      <c r="AK6" s="86">
        <f t="shared" si="2"/>
        <v>-0.13111621847360491</v>
      </c>
      <c r="AL6" s="86">
        <v>0.25369999999999998</v>
      </c>
      <c r="AM6" s="85">
        <f t="shared" si="3"/>
        <v>2.3325044806985702E-5</v>
      </c>
    </row>
    <row r="7" spans="1:39">
      <c r="A7" s="1" t="s">
        <v>4</v>
      </c>
      <c r="AG7" s="84" t="s">
        <v>17</v>
      </c>
      <c r="AH7" s="86">
        <v>0.16850999999999999</v>
      </c>
      <c r="AI7" s="86">
        <f t="shared" si="0"/>
        <v>0.37028071017717423</v>
      </c>
      <c r="AJ7" s="86">
        <f t="shared" si="1"/>
        <v>1.1231989986589599E-2</v>
      </c>
      <c r="AK7" s="86">
        <f t="shared" si="2"/>
        <v>-0.13597426812186605</v>
      </c>
      <c r="AL7" s="86">
        <v>0.26391999999999999</v>
      </c>
      <c r="AM7" s="85">
        <f t="shared" si="3"/>
        <v>1.8219578260407629E-5</v>
      </c>
    </row>
    <row r="8" spans="1:39">
      <c r="A8" s="1" t="s">
        <v>5</v>
      </c>
      <c r="B8" s="1">
        <v>0.101325</v>
      </c>
      <c r="C8" s="1" t="s">
        <v>6</v>
      </c>
      <c r="E8" s="3" t="s">
        <v>9</v>
      </c>
      <c r="F8" s="3" t="s">
        <v>10</v>
      </c>
      <c r="G8" s="3" t="s">
        <v>247</v>
      </c>
      <c r="H8" s="3" t="s">
        <v>9</v>
      </c>
      <c r="I8" s="3" t="s">
        <v>16</v>
      </c>
      <c r="J8" s="3" t="s">
        <v>20</v>
      </c>
      <c r="K8" s="3" t="s">
        <v>21</v>
      </c>
      <c r="L8" s="3" t="s">
        <v>24</v>
      </c>
      <c r="M8" s="3" t="s">
        <v>25</v>
      </c>
      <c r="N8" s="3" t="s">
        <v>26</v>
      </c>
      <c r="O8" s="3" t="s">
        <v>163</v>
      </c>
      <c r="S8" t="s">
        <v>163</v>
      </c>
      <c r="AG8" s="84" t="s">
        <v>223</v>
      </c>
      <c r="AH8" s="86">
        <v>0.16850999999999999</v>
      </c>
      <c r="AI8" s="86">
        <f t="shared" si="0"/>
        <v>0.440934514643395</v>
      </c>
      <c r="AJ8" s="86">
        <f t="shared" si="1"/>
        <v>1.5780658790461602E-2</v>
      </c>
      <c r="AK8" s="86">
        <f t="shared" si="2"/>
        <v>-0.13597426812186605</v>
      </c>
      <c r="AL8" s="86">
        <v>0.26391999999999999</v>
      </c>
      <c r="AM8" s="85">
        <f t="shared" si="3"/>
        <v>2.4258014791549889E-5</v>
      </c>
    </row>
    <row r="9" spans="1:39">
      <c r="A9" s="1" t="s">
        <v>7</v>
      </c>
      <c r="B9" s="1">
        <v>485</v>
      </c>
      <c r="C9" s="1" t="s">
        <v>8</v>
      </c>
      <c r="E9" s="3" t="s">
        <v>11</v>
      </c>
      <c r="F9" s="3">
        <v>61.35</v>
      </c>
      <c r="G9">
        <f>F9/100</f>
        <v>0.61350000000000005</v>
      </c>
      <c r="H9" s="3" t="s">
        <v>11</v>
      </c>
      <c r="I9" s="3">
        <v>4.641</v>
      </c>
      <c r="J9" s="1">
        <v>190.55</v>
      </c>
      <c r="K9" s="2">
        <v>1.15E-2</v>
      </c>
      <c r="L9">
        <f>$B$8/I9</f>
        <v>2.1832579185520361E-2</v>
      </c>
      <c r="M9">
        <f>$B$9/J9</f>
        <v>2.5452637103122537</v>
      </c>
      <c r="N9">
        <f>(EXP(5.37*(1+K9)*(1-1/M9)))/L9</f>
        <v>1238.9793612991366</v>
      </c>
      <c r="O9">
        <v>16.042999999999999</v>
      </c>
      <c r="Q9" s="3" t="s">
        <v>11</v>
      </c>
      <c r="R9" s="3">
        <v>61.35</v>
      </c>
      <c r="S9">
        <v>16.042999999999999</v>
      </c>
      <c r="AG9" s="84" t="s">
        <v>18</v>
      </c>
      <c r="AH9" s="86">
        <v>0.16397</v>
      </c>
      <c r="AI9" s="86">
        <f t="shared" si="0"/>
        <v>0.47943828171113512</v>
      </c>
      <c r="AJ9" s="86">
        <f t="shared" si="1"/>
        <v>1.7299049088228841E-2</v>
      </c>
      <c r="AK9" s="86">
        <f t="shared" si="2"/>
        <v>-0.14149428408930259</v>
      </c>
      <c r="AL9" s="86">
        <v>0.27557999999999999</v>
      </c>
      <c r="AM9" s="85">
        <f t="shared" si="3"/>
        <v>2.0484365334762756E-5</v>
      </c>
    </row>
    <row r="10" spans="1:39">
      <c r="A10" s="6" t="s">
        <v>37</v>
      </c>
      <c r="B10" s="1">
        <v>8.3146000000000004</v>
      </c>
      <c r="C10" s="1" t="s">
        <v>38</v>
      </c>
      <c r="E10" s="3" t="s">
        <v>12</v>
      </c>
      <c r="F10" s="3">
        <v>11.03</v>
      </c>
      <c r="G10">
        <f t="shared" ref="G10:G16" si="4">F10/100</f>
        <v>0.1103</v>
      </c>
      <c r="H10" s="3" t="s">
        <v>12</v>
      </c>
      <c r="I10" s="3">
        <v>4.9130000000000003</v>
      </c>
      <c r="J10" s="1">
        <v>305.5</v>
      </c>
      <c r="K10" s="2">
        <v>0.105</v>
      </c>
      <c r="L10">
        <f t="shared" ref="L10:L16" si="5">$B$8/I10</f>
        <v>2.0623855078363524E-2</v>
      </c>
      <c r="M10">
        <f t="shared" ref="M10:M16" si="6">$B$9/J10</f>
        <v>1.5875613747954174</v>
      </c>
      <c r="N10">
        <f t="shared" ref="N10:N16" si="7">(EXP(5.37*(1+K10)*(1-1/M10)))/L10</f>
        <v>435.91318073569533</v>
      </c>
      <c r="O10">
        <v>30.07</v>
      </c>
      <c r="Q10" s="3" t="s">
        <v>12</v>
      </c>
      <c r="R10" s="3">
        <v>11.03</v>
      </c>
      <c r="S10">
        <v>30.07</v>
      </c>
      <c r="AG10" s="84" t="s">
        <v>183</v>
      </c>
      <c r="AH10" s="86">
        <v>0.17821999999999999</v>
      </c>
      <c r="AI10" s="86">
        <f t="shared" si="0"/>
        <v>0.55877773089789473</v>
      </c>
      <c r="AJ10" s="86">
        <f t="shared" si="1"/>
        <v>1.7413785842420124E-2</v>
      </c>
      <c r="AK10" s="86">
        <f t="shared" si="2"/>
        <v>-0.13484458066229935</v>
      </c>
      <c r="AL10" s="86">
        <v>0.26153999999999999</v>
      </c>
      <c r="AM10" s="85">
        <f t="shared" si="3"/>
        <v>5.6826830190918761E-6</v>
      </c>
    </row>
    <row r="11" spans="1:39" ht="15" thickBot="1">
      <c r="E11" s="3" t="s">
        <v>13</v>
      </c>
      <c r="F11" s="3">
        <v>6.53</v>
      </c>
      <c r="G11">
        <f t="shared" si="4"/>
        <v>6.5299999999999997E-2</v>
      </c>
      <c r="H11" s="3" t="s">
        <v>13</v>
      </c>
      <c r="I11" s="3">
        <v>4.2640000000000002</v>
      </c>
      <c r="J11" s="1">
        <v>369.8</v>
      </c>
      <c r="K11" s="2">
        <v>0.152</v>
      </c>
      <c r="L11">
        <f t="shared" si="5"/>
        <v>2.3762898686679173E-2</v>
      </c>
      <c r="M11">
        <f t="shared" si="6"/>
        <v>1.3115197404002163</v>
      </c>
      <c r="N11">
        <f t="shared" si="7"/>
        <v>182.91493935346588</v>
      </c>
      <c r="O11">
        <v>44.097000000000001</v>
      </c>
      <c r="Q11" s="3" t="s">
        <v>13</v>
      </c>
      <c r="R11" s="3">
        <v>6.53</v>
      </c>
      <c r="S11">
        <v>44.097000000000001</v>
      </c>
    </row>
    <row r="12" spans="1:39">
      <c r="E12" s="3" t="s">
        <v>14</v>
      </c>
      <c r="F12" s="3">
        <v>0.39</v>
      </c>
      <c r="G12">
        <f t="shared" si="4"/>
        <v>3.9000000000000003E-3</v>
      </c>
      <c r="H12" s="3" t="s">
        <v>14</v>
      </c>
      <c r="I12" s="3">
        <v>3.6469999999999998</v>
      </c>
      <c r="J12" s="1">
        <v>408.14</v>
      </c>
      <c r="K12" s="6">
        <v>0.192</v>
      </c>
      <c r="L12">
        <f t="shared" si="5"/>
        <v>2.7783109404990403E-2</v>
      </c>
      <c r="M12">
        <f t="shared" si="6"/>
        <v>1.1883177341108444</v>
      </c>
      <c r="N12">
        <f t="shared" si="7"/>
        <v>99.258432982568394</v>
      </c>
      <c r="O12">
        <v>58.122999999999998</v>
      </c>
      <c r="Q12" s="3" t="s">
        <v>14</v>
      </c>
      <c r="R12" s="3">
        <v>0.39</v>
      </c>
      <c r="S12">
        <v>58.122999999999998</v>
      </c>
      <c r="X12" s="37" t="s">
        <v>9</v>
      </c>
      <c r="Y12" s="38" t="s">
        <v>10</v>
      </c>
      <c r="Z12" s="38" t="s">
        <v>247</v>
      </c>
      <c r="AA12" s="38" t="s">
        <v>16</v>
      </c>
      <c r="AB12" s="38" t="s">
        <v>20</v>
      </c>
      <c r="AC12" s="38" t="s">
        <v>21</v>
      </c>
      <c r="AD12" s="39" t="s">
        <v>163</v>
      </c>
    </row>
    <row r="13" spans="1:39">
      <c r="E13" s="3" t="s">
        <v>15</v>
      </c>
      <c r="F13" s="3">
        <v>0.43</v>
      </c>
      <c r="G13">
        <f t="shared" si="4"/>
        <v>4.3E-3</v>
      </c>
      <c r="H13" s="3" t="s">
        <v>15</v>
      </c>
      <c r="I13" s="3">
        <v>3.7959999999999998</v>
      </c>
      <c r="J13" s="1">
        <v>425.17</v>
      </c>
      <c r="K13" s="6">
        <v>0.2</v>
      </c>
      <c r="L13">
        <f t="shared" si="5"/>
        <v>2.6692571127502635E-2</v>
      </c>
      <c r="M13">
        <f t="shared" si="6"/>
        <v>1.1407201825152291</v>
      </c>
      <c r="N13">
        <f t="shared" si="7"/>
        <v>82.955734135031364</v>
      </c>
      <c r="O13">
        <v>58.122999999999998</v>
      </c>
      <c r="Q13" s="3" t="s">
        <v>15</v>
      </c>
      <c r="R13" s="3">
        <v>0.43</v>
      </c>
      <c r="S13">
        <v>58.122999999999998</v>
      </c>
      <c r="X13" s="40" t="s">
        <v>11</v>
      </c>
      <c r="Y13" s="3">
        <v>61.35</v>
      </c>
      <c r="Z13" s="41">
        <f>Y13/100</f>
        <v>0.61350000000000005</v>
      </c>
      <c r="AA13" s="46">
        <v>4.641</v>
      </c>
      <c r="AB13" s="48">
        <v>190.55</v>
      </c>
      <c r="AC13" s="50">
        <v>1.15E-2</v>
      </c>
      <c r="AD13" s="51">
        <v>16.042999999999999</v>
      </c>
    </row>
    <row r="14" spans="1:39">
      <c r="E14" s="3" t="s">
        <v>17</v>
      </c>
      <c r="F14" s="3">
        <v>0.15</v>
      </c>
      <c r="G14">
        <f t="shared" si="4"/>
        <v>1.5E-3</v>
      </c>
      <c r="H14" s="3" t="s">
        <v>17</v>
      </c>
      <c r="I14" s="3">
        <v>3.3330000000000002</v>
      </c>
      <c r="J14" s="1">
        <v>462.96</v>
      </c>
      <c r="K14" s="6">
        <v>0.20599999999999999</v>
      </c>
      <c r="L14">
        <f t="shared" si="5"/>
        <v>3.0400540054005398E-2</v>
      </c>
      <c r="M14">
        <f t="shared" si="6"/>
        <v>1.0476067046829101</v>
      </c>
      <c r="N14">
        <f t="shared" si="7"/>
        <v>44.150122754516474</v>
      </c>
      <c r="O14">
        <v>72.150000000000006</v>
      </c>
      <c r="Q14" s="3" t="s">
        <v>17</v>
      </c>
      <c r="R14" s="3">
        <v>0.15</v>
      </c>
      <c r="S14">
        <v>72.150000000000006</v>
      </c>
      <c r="X14" s="40" t="s">
        <v>12</v>
      </c>
      <c r="Y14" s="3">
        <v>11.03</v>
      </c>
      <c r="Z14" s="41">
        <f t="shared" ref="Z14:Z20" si="8">Y14/100</f>
        <v>0.1103</v>
      </c>
      <c r="AA14" s="46">
        <v>4.9130000000000003</v>
      </c>
      <c r="AB14" s="48">
        <v>305.5</v>
      </c>
      <c r="AC14" s="50">
        <v>0.105</v>
      </c>
      <c r="AD14" s="51">
        <v>30.07</v>
      </c>
    </row>
    <row r="15" spans="1:39">
      <c r="E15" s="3" t="s">
        <v>223</v>
      </c>
      <c r="F15" s="3">
        <v>0.19</v>
      </c>
      <c r="G15">
        <f t="shared" si="4"/>
        <v>1.9E-3</v>
      </c>
      <c r="H15" s="3" t="s">
        <v>223</v>
      </c>
      <c r="I15" s="3">
        <v>3.0310000000000001</v>
      </c>
      <c r="J15" s="1">
        <v>469.78</v>
      </c>
      <c r="K15" s="6">
        <v>0.29799999999999999</v>
      </c>
      <c r="L15">
        <f t="shared" si="5"/>
        <v>3.3429561200923788E-2</v>
      </c>
      <c r="M15">
        <f t="shared" si="6"/>
        <v>1.0323981438119971</v>
      </c>
      <c r="N15">
        <f t="shared" si="7"/>
        <v>37.227641019164345</v>
      </c>
      <c r="O15">
        <v>86.177000000000007</v>
      </c>
      <c r="Q15" s="3" t="s">
        <v>223</v>
      </c>
      <c r="R15" s="3">
        <v>0.19</v>
      </c>
      <c r="S15">
        <v>86.177000000000007</v>
      </c>
      <c r="X15" s="40" t="s">
        <v>13</v>
      </c>
      <c r="Y15" s="3">
        <v>6.53</v>
      </c>
      <c r="Z15" s="41">
        <f t="shared" si="8"/>
        <v>6.5299999999999997E-2</v>
      </c>
      <c r="AA15" s="46">
        <v>4.2640000000000002</v>
      </c>
      <c r="AB15" s="48">
        <v>369.8</v>
      </c>
      <c r="AC15" s="50">
        <v>0.152</v>
      </c>
      <c r="AD15" s="51">
        <v>44.097000000000001</v>
      </c>
      <c r="AH15" t="s">
        <v>282</v>
      </c>
      <c r="AI15">
        <f>SUMPRODUCT(G9:G17,AM2:AM10)</f>
        <v>6.0479092187966741E-5</v>
      </c>
    </row>
    <row r="16" spans="1:39">
      <c r="E16" s="3" t="s">
        <v>18</v>
      </c>
      <c r="F16" s="3">
        <v>0.39</v>
      </c>
      <c r="G16">
        <f t="shared" si="4"/>
        <v>3.9000000000000003E-3</v>
      </c>
      <c r="H16" s="3" t="s">
        <v>18</v>
      </c>
      <c r="I16" s="3">
        <v>2.7360000000000002</v>
      </c>
      <c r="J16" s="1">
        <v>507.86</v>
      </c>
      <c r="K16" s="6">
        <v>0.34899999999999998</v>
      </c>
      <c r="L16">
        <f t="shared" si="5"/>
        <v>3.7033991228070169E-2</v>
      </c>
      <c r="M16">
        <f t="shared" si="6"/>
        <v>0.95498759500649788</v>
      </c>
      <c r="N16">
        <f t="shared" si="7"/>
        <v>19.191627830563004</v>
      </c>
      <c r="O16">
        <v>100.20399999999999</v>
      </c>
      <c r="Q16" s="3" t="s">
        <v>18</v>
      </c>
      <c r="R16" s="3">
        <v>0.39</v>
      </c>
      <c r="S16">
        <v>100.20399999999999</v>
      </c>
      <c r="X16" s="40" t="s">
        <v>14</v>
      </c>
      <c r="Y16" s="3">
        <v>0.39</v>
      </c>
      <c r="Z16" s="41">
        <f t="shared" si="8"/>
        <v>3.9000000000000003E-3</v>
      </c>
      <c r="AA16" s="46">
        <v>3.6469999999999998</v>
      </c>
      <c r="AB16" s="48">
        <v>408.14</v>
      </c>
      <c r="AC16" s="50">
        <v>0.192</v>
      </c>
      <c r="AD16" s="51">
        <v>58.122999999999998</v>
      </c>
      <c r="AH16" t="s">
        <v>282</v>
      </c>
      <c r="AI16">
        <v>6.0479092187966701E-5</v>
      </c>
    </row>
    <row r="17" spans="1:30">
      <c r="E17" s="3" t="s">
        <v>183</v>
      </c>
      <c r="F17" s="3">
        <v>19.54</v>
      </c>
      <c r="G17">
        <f>F17/100</f>
        <v>0.19539999999999999</v>
      </c>
      <c r="H17" s="3" t="s">
        <v>183</v>
      </c>
      <c r="I17" s="3">
        <v>2.5057266196284464</v>
      </c>
      <c r="J17" s="1">
        <v>625.61532663212404</v>
      </c>
      <c r="K17" s="34">
        <v>0.45591259090987474</v>
      </c>
      <c r="L17">
        <f>$B$8/I17</f>
        <v>4.0437372220208385E-2</v>
      </c>
      <c r="M17">
        <f>$B$9/J17</f>
        <v>0.77523676187874302</v>
      </c>
      <c r="N17">
        <f>(EXP(5.37*(1+K17)*(1-1/M17)))/L17</f>
        <v>2.5632272963074367</v>
      </c>
      <c r="O17">
        <v>141.1</v>
      </c>
      <c r="Q17" s="4" t="s">
        <v>183</v>
      </c>
      <c r="R17" s="3">
        <v>19.54</v>
      </c>
      <c r="S17" s="7">
        <v>141.1</v>
      </c>
      <c r="X17" s="40" t="s">
        <v>15</v>
      </c>
      <c r="Y17" s="3">
        <v>0.43</v>
      </c>
      <c r="Z17" s="41">
        <f t="shared" si="8"/>
        <v>4.3E-3</v>
      </c>
      <c r="AA17" s="46">
        <v>3.7959999999999998</v>
      </c>
      <c r="AB17" s="48">
        <v>425.17</v>
      </c>
      <c r="AC17" s="50">
        <v>0.2</v>
      </c>
      <c r="AD17" s="51">
        <v>58.122999999999998</v>
      </c>
    </row>
    <row r="18" spans="1:30">
      <c r="E18" s="3" t="s">
        <v>29</v>
      </c>
      <c r="F18" s="3">
        <f>SUM(F9:F17)</f>
        <v>100</v>
      </c>
      <c r="G18">
        <f>F18/100</f>
        <v>1</v>
      </c>
      <c r="H18" s="4" t="s">
        <v>16</v>
      </c>
      <c r="I18">
        <f>(I9*F9+F10*I10+F11*I11+F12*I12+F13*I13+F14*I14+F15*I15+F16*I16+F17*I17)/100</f>
        <v>4.2091904814753986</v>
      </c>
      <c r="J18">
        <f>(J9*F9+F10*J10+F11*J11+F12*J12+F13*J13+F14*J14+F15*J15+F16*J16+F17*J17)/100</f>
        <v>303.97990282391709</v>
      </c>
      <c r="R18" s="3">
        <f>SUM(R9:R17)</f>
        <v>100</v>
      </c>
      <c r="X18" s="40" t="s">
        <v>17</v>
      </c>
      <c r="Y18" s="3">
        <v>0.15</v>
      </c>
      <c r="Z18" s="41">
        <f t="shared" si="8"/>
        <v>1.5E-3</v>
      </c>
      <c r="AA18" s="46">
        <v>3.3330000000000002</v>
      </c>
      <c r="AB18" s="48">
        <v>462.96</v>
      </c>
      <c r="AC18" s="50">
        <v>0.20599999999999999</v>
      </c>
      <c r="AD18" s="51">
        <v>72.150000000000006</v>
      </c>
    </row>
    <row r="19" spans="1:30">
      <c r="X19" s="40" t="s">
        <v>223</v>
      </c>
      <c r="Y19" s="3">
        <v>0.19</v>
      </c>
      <c r="Z19" s="41">
        <f t="shared" si="8"/>
        <v>1.9E-3</v>
      </c>
      <c r="AA19" s="46">
        <v>3.0310000000000001</v>
      </c>
      <c r="AB19" s="48">
        <v>469.78</v>
      </c>
      <c r="AC19" s="50">
        <v>0.29799999999999999</v>
      </c>
      <c r="AD19" s="51">
        <v>86.177000000000007</v>
      </c>
    </row>
    <row r="20" spans="1:30">
      <c r="X20" s="40" t="s">
        <v>18</v>
      </c>
      <c r="Y20" s="3">
        <v>0.39</v>
      </c>
      <c r="Z20" s="41">
        <f t="shared" si="8"/>
        <v>3.9000000000000003E-3</v>
      </c>
      <c r="AA20" s="46">
        <v>2.7360000000000002</v>
      </c>
      <c r="AB20" s="48">
        <v>507.86</v>
      </c>
      <c r="AC20" s="50">
        <v>0.34899999999999998</v>
      </c>
      <c r="AD20" s="51">
        <v>100.20399999999999</v>
      </c>
    </row>
    <row r="21" spans="1:30">
      <c r="A21" t="s">
        <v>22</v>
      </c>
      <c r="B21">
        <f>B9/J18</f>
        <v>1.5955002139761205</v>
      </c>
      <c r="X21" s="40" t="s">
        <v>183</v>
      </c>
      <c r="Y21" s="3">
        <v>19.54</v>
      </c>
      <c r="Z21" s="41">
        <f>Y21/100</f>
        <v>0.19539999999999999</v>
      </c>
      <c r="AA21" s="46">
        <v>2.5057266196284464</v>
      </c>
      <c r="AB21" s="48">
        <v>625.61532663212404</v>
      </c>
      <c r="AC21" s="50">
        <v>0.45591259090987474</v>
      </c>
      <c r="AD21" s="51">
        <v>141.1</v>
      </c>
    </row>
    <row r="22" spans="1:30" ht="15" thickBot="1">
      <c r="A22" t="s">
        <v>23</v>
      </c>
      <c r="B22">
        <f>B8/I18</f>
        <v>2.4072324701371967E-2</v>
      </c>
      <c r="X22" s="42" t="s">
        <v>29</v>
      </c>
      <c r="Y22" s="43">
        <f>SUM(Y13:Y21)</f>
        <v>100</v>
      </c>
      <c r="Z22" s="44">
        <f>Y22/100</f>
        <v>1</v>
      </c>
      <c r="AA22" s="47">
        <f>(AA13*Y13+Y14*AA14+Y15*AA15+Y16*AA16+Y17*AA17+Y18*AA18+Y19*AA19+Y20*AA20+Y21*AA21)/100</f>
        <v>4.2091904814753986</v>
      </c>
      <c r="AB22" s="49">
        <f>(AB13*Y13+Y14*AB14+Y15*AB15+Y16*AB16+Y17*AB17+Y18*AB18+Y19*AB19+Y20*AB20+Y21*AB21)/100</f>
        <v>303.97990282391709</v>
      </c>
      <c r="AC22" s="44"/>
      <c r="AD22" s="45"/>
    </row>
    <row r="23" spans="1:30">
      <c r="E23" s="91" t="s">
        <v>88</v>
      </c>
      <c r="F23" s="91"/>
    </row>
    <row r="25" spans="1:30">
      <c r="A25" s="92" t="s">
        <v>27</v>
      </c>
      <c r="B25" s="92"/>
      <c r="C25" s="92"/>
      <c r="D25" s="92"/>
      <c r="E25" s="18" t="s">
        <v>86</v>
      </c>
      <c r="F25" s="18"/>
    </row>
    <row r="26" spans="1:30">
      <c r="E26" s="18" t="s">
        <v>81</v>
      </c>
      <c r="F26" s="18">
        <v>1</v>
      </c>
    </row>
    <row r="27" spans="1:30">
      <c r="E27" t="s">
        <v>87</v>
      </c>
      <c r="F27">
        <f>1-F26</f>
        <v>0</v>
      </c>
    </row>
    <row r="31" spans="1:30">
      <c r="A31" t="s">
        <v>9</v>
      </c>
      <c r="B31" t="s">
        <v>28</v>
      </c>
      <c r="C31" t="s">
        <v>30</v>
      </c>
      <c r="D31" t="s">
        <v>31</v>
      </c>
    </row>
    <row r="32" spans="1:30">
      <c r="A32" s="3" t="s">
        <v>11</v>
      </c>
      <c r="B32">
        <f>F9/100*(N9-1)/(1+$F$26*(N9-1))</f>
        <v>0.61300483436676723</v>
      </c>
      <c r="C32">
        <f>F9/100/($F$26*(N9-1)+1)</f>
        <v>4.9516563323275399E-4</v>
      </c>
      <c r="D32">
        <f>N9*C32</f>
        <v>0.61350000000000005</v>
      </c>
    </row>
    <row r="33" spans="1:4">
      <c r="A33" s="3" t="s">
        <v>12</v>
      </c>
      <c r="B33">
        <f t="shared" ref="B33:B39" si="9">F10/100*(N10-1)/(1+$F$26*(N10-1))</f>
        <v>0.11004696796317597</v>
      </c>
      <c r="C33">
        <f t="shared" ref="C33:C39" si="10">F10/100/($F$26*(N10-1)+1)</f>
        <v>2.5303203682404261E-4</v>
      </c>
      <c r="D33">
        <f t="shared" ref="D33:D39" si="11">N10*C33</f>
        <v>0.11030000000000001</v>
      </c>
    </row>
    <row r="34" spans="1:4">
      <c r="A34" s="3" t="s">
        <v>13</v>
      </c>
      <c r="B34">
        <f>F11/100*(N11-1)/(1+$F$26*(N11-1))</f>
        <v>6.4943003462533941E-2</v>
      </c>
      <c r="C34">
        <f t="shared" si="10"/>
        <v>3.5699653746605083E-4</v>
      </c>
      <c r="D34">
        <f t="shared" si="11"/>
        <v>6.5299999999999997E-2</v>
      </c>
    </row>
    <row r="35" spans="1:4">
      <c r="A35" s="3" t="s">
        <v>14</v>
      </c>
      <c r="B35">
        <f t="shared" si="9"/>
        <v>3.8607086281456319E-3</v>
      </c>
      <c r="C35">
        <f t="shared" si="10"/>
        <v>3.9291371854368404E-5</v>
      </c>
      <c r="D35">
        <f t="shared" si="11"/>
        <v>3.9000000000000003E-3</v>
      </c>
    </row>
    <row r="36" spans="1:4">
      <c r="A36" s="3" t="s">
        <v>15</v>
      </c>
      <c r="B36">
        <f t="shared" si="9"/>
        <v>4.248165126319048E-3</v>
      </c>
      <c r="C36">
        <f>F13/100/($F$26*(N13-1)+1)</f>
        <v>5.1834873680952135E-5</v>
      </c>
      <c r="D36">
        <f t="shared" si="11"/>
        <v>4.3E-3</v>
      </c>
    </row>
    <row r="37" spans="1:4">
      <c r="A37" s="3" t="s">
        <v>17</v>
      </c>
      <c r="B37">
        <f t="shared" si="9"/>
        <v>1.4660250095262406E-3</v>
      </c>
      <c r="C37">
        <f t="shared" si="10"/>
        <v>3.3974990473759282E-5</v>
      </c>
      <c r="D37">
        <f t="shared" si="11"/>
        <v>1.5E-3</v>
      </c>
    </row>
    <row r="38" spans="1:4">
      <c r="A38" s="3" t="s">
        <v>223</v>
      </c>
      <c r="B38">
        <f t="shared" si="9"/>
        <v>1.8489626538780175E-3</v>
      </c>
      <c r="C38">
        <f t="shared" si="10"/>
        <v>5.1037346121982393E-5</v>
      </c>
      <c r="D38">
        <f t="shared" si="11"/>
        <v>1.9E-3</v>
      </c>
    </row>
    <row r="39" spans="1:4">
      <c r="A39" s="3" t="s">
        <v>18</v>
      </c>
      <c r="B39">
        <f t="shared" si="9"/>
        <v>3.6967863886048702E-3</v>
      </c>
      <c r="C39">
        <f t="shared" si="10"/>
        <v>2.0321361139513043E-4</v>
      </c>
      <c r="D39">
        <f t="shared" si="11"/>
        <v>3.9000000000000003E-3</v>
      </c>
    </row>
    <row r="40" spans="1:4">
      <c r="A40" s="3" t="s">
        <v>183</v>
      </c>
      <c r="B40">
        <f>F17/100*(N17-1)/(1+$F$26*(N17-1))</f>
        <v>0.11916797786076498</v>
      </c>
      <c r="C40">
        <f>F17/100/($F$26*(N17-1)+1)</f>
        <v>7.6232022139234995E-2</v>
      </c>
      <c r="D40">
        <f>N17*C40</f>
        <v>0.19539999999999996</v>
      </c>
    </row>
    <row r="41" spans="1:4">
      <c r="A41" t="s">
        <v>29</v>
      </c>
      <c r="B41">
        <f>SUM(B32:B40)</f>
        <v>0.9222834314597157</v>
      </c>
      <c r="C41" s="7">
        <f>SUM(C32:C40)</f>
        <v>7.7716568540284039E-2</v>
      </c>
      <c r="D41" s="7">
        <f>SUM(D32:D40)</f>
        <v>1</v>
      </c>
    </row>
    <row r="47" spans="1:4">
      <c r="A47" t="s">
        <v>32</v>
      </c>
      <c r="B47" t="s">
        <v>33</v>
      </c>
    </row>
    <row r="55" spans="1:15">
      <c r="A55" t="s">
        <v>34</v>
      </c>
    </row>
    <row r="56" spans="1:15">
      <c r="K56" s="3" t="s">
        <v>9</v>
      </c>
      <c r="L56" t="s">
        <v>35</v>
      </c>
      <c r="M56" s="5" t="s">
        <v>36</v>
      </c>
      <c r="N56" s="8" t="s">
        <v>39</v>
      </c>
      <c r="O56" s="8" t="s">
        <v>40</v>
      </c>
    </row>
    <row r="57" spans="1:15">
      <c r="K57" s="3" t="s">
        <v>11</v>
      </c>
      <c r="L57">
        <f>0.37464+1.54226*K9+0.26992*K9^2</f>
        <v>0.39241168691999995</v>
      </c>
      <c r="M57">
        <f>(1+AI2*(1-M9)+AH2*(1-M9)*(0.7-M9))^2</f>
        <v>0.81724065276163949</v>
      </c>
      <c r="N57">
        <f>0.45724*$B$10^2*J9^2/(I9*1000000)</f>
        <v>0.24730521570016398</v>
      </c>
      <c r="O57">
        <f>0.0778*$B$10*J9/(I9*1000000)</f>
        <v>2.6559405070889894E-5</v>
      </c>
    </row>
    <row r="58" spans="1:15">
      <c r="K58" s="3" t="s">
        <v>12</v>
      </c>
      <c r="L58">
        <f t="shared" ref="L58:L64" si="12">0.37464+1.54226*K10+0.26992*K10^2</f>
        <v>0.53955316799999997</v>
      </c>
      <c r="M58">
        <f t="shared" ref="M58:M65" si="13">(1+AI3*(1-M10)+AH3*(1-M10)*(0.7-M10))^2</f>
        <v>0.78879624546905025</v>
      </c>
      <c r="N58">
        <f t="shared" ref="N58:N64" si="14">0.45724*$B$10^2*J10^2/(I10*1000000)</f>
        <v>0.60048560800093287</v>
      </c>
      <c r="O58">
        <f t="shared" ref="O58:O64" si="15">0.0778*$B$10*J10/(I10*1000000)</f>
        <v>4.0224014113576227E-5</v>
      </c>
    </row>
    <row r="59" spans="1:15">
      <c r="K59" s="3" t="s">
        <v>13</v>
      </c>
      <c r="L59">
        <f t="shared" si="12"/>
        <v>0.61529975167999995</v>
      </c>
      <c r="M59">
        <f t="shared" si="13"/>
        <v>0.86474528588315225</v>
      </c>
      <c r="N59">
        <f t="shared" si="14"/>
        <v>1.0137796182703178</v>
      </c>
      <c r="O59">
        <f t="shared" si="15"/>
        <v>5.6101008542213883E-5</v>
      </c>
    </row>
    <row r="60" spans="1:15">
      <c r="K60" s="3" t="s">
        <v>14</v>
      </c>
      <c r="L60">
        <f t="shared" si="12"/>
        <v>0.68070425087999986</v>
      </c>
      <c r="M60">
        <f t="shared" si="13"/>
        <v>0.90102897518506953</v>
      </c>
      <c r="N60">
        <f t="shared" si="14"/>
        <v>1.443808169871464</v>
      </c>
      <c r="O60">
        <f t="shared" si="15"/>
        <v>7.2392630014587314E-5</v>
      </c>
    </row>
    <row r="61" spans="1:15">
      <c r="K61" s="3" t="s">
        <v>15</v>
      </c>
      <c r="L61">
        <f t="shared" si="12"/>
        <v>0.69388880000000008</v>
      </c>
      <c r="M61">
        <f t="shared" si="13"/>
        <v>0.91813209644572391</v>
      </c>
      <c r="N61">
        <f t="shared" si="14"/>
        <v>1.5053100475806549</v>
      </c>
      <c r="O61">
        <f t="shared" si="15"/>
        <v>7.2453165937723908E-5</v>
      </c>
    </row>
    <row r="62" spans="1:15">
      <c r="K62" s="3" t="s">
        <v>17</v>
      </c>
      <c r="L62">
        <f t="shared" si="12"/>
        <v>0.70379988511999991</v>
      </c>
      <c r="M62">
        <f t="shared" si="13"/>
        <v>0.97054166020110177</v>
      </c>
      <c r="N62">
        <f t="shared" si="14"/>
        <v>2.0327246936819412</v>
      </c>
      <c r="O62">
        <f t="shared" si="15"/>
        <v>8.9852282449684958E-5</v>
      </c>
    </row>
    <row r="63" spans="1:15">
      <c r="K63" s="3" t="s">
        <v>223</v>
      </c>
      <c r="L63">
        <f t="shared" si="12"/>
        <v>0.85820345568</v>
      </c>
      <c r="M63">
        <f t="shared" si="13"/>
        <v>0.97521399656980412</v>
      </c>
      <c r="N63">
        <f t="shared" si="14"/>
        <v>2.3016010592277514</v>
      </c>
      <c r="O63">
        <f t="shared" si="15"/>
        <v>1.0026042590115472E-4</v>
      </c>
    </row>
    <row r="64" spans="1:15">
      <c r="K64" s="3" t="s">
        <v>18</v>
      </c>
      <c r="L64">
        <f t="shared" si="12"/>
        <v>0.94576526591999999</v>
      </c>
      <c r="M64">
        <f t="shared" si="13"/>
        <v>1.0397854127409878</v>
      </c>
      <c r="N64">
        <f t="shared" si="14"/>
        <v>2.979880591807464</v>
      </c>
      <c r="O64">
        <f t="shared" si="15"/>
        <v>1.2007397091257309E-4</v>
      </c>
    </row>
    <row r="65" spans="1:19">
      <c r="K65" s="3" t="s">
        <v>183</v>
      </c>
      <c r="L65">
        <f>0.37464+1.54226*K17+0.26992*K17^2</f>
        <v>1.1338803224019611</v>
      </c>
      <c r="M65">
        <f t="shared" si="13"/>
        <v>1.2601834098990297</v>
      </c>
      <c r="N65">
        <f>0.45724*$B$10^2*J17^2/(I17*1000000)</f>
        <v>4.9375102559342174</v>
      </c>
      <c r="O65">
        <f>0.0778*$B$10*J17/(I17*1000000)</f>
        <v>1.615082275083351E-4</v>
      </c>
    </row>
    <row r="74" spans="1:19">
      <c r="K74" s="91" t="s">
        <v>89</v>
      </c>
      <c r="L74" s="91"/>
    </row>
    <row r="76" spans="1:19">
      <c r="K76" t="s">
        <v>46</v>
      </c>
    </row>
    <row r="78" spans="1:19">
      <c r="K78" s="9" t="s">
        <v>43</v>
      </c>
      <c r="L78" s="9"/>
      <c r="M78" s="9"/>
      <c r="N78" s="9"/>
      <c r="O78" s="9"/>
      <c r="P78" s="9"/>
      <c r="Q78" s="9"/>
      <c r="R78" s="9"/>
      <c r="S78" s="9"/>
    </row>
    <row r="79" spans="1:19">
      <c r="A79" s="1" t="s">
        <v>41</v>
      </c>
      <c r="B79" s="1"/>
      <c r="C79" s="1"/>
      <c r="D79" s="1"/>
      <c r="E79" s="1"/>
      <c r="F79" s="1"/>
      <c r="G79" s="1"/>
      <c r="H79" s="1"/>
      <c r="I79" s="1"/>
      <c r="K79" s="36">
        <v>0.20210787591016005</v>
      </c>
      <c r="L79" s="36">
        <v>0.3094035823728018</v>
      </c>
      <c r="M79" s="36">
        <v>0.42092769221731047</v>
      </c>
      <c r="N79" s="36">
        <v>0.51276189630021807</v>
      </c>
      <c r="O79" s="36">
        <v>0.52851483737946392</v>
      </c>
      <c r="P79" s="36">
        <v>0.63144858074702681</v>
      </c>
      <c r="Q79" s="36">
        <v>0.67352947514545369</v>
      </c>
      <c r="R79" s="36">
        <v>0.79133961963244437</v>
      </c>
      <c r="S79" s="36">
        <v>1.1214050388952497</v>
      </c>
    </row>
    <row r="80" spans="1:19">
      <c r="A80" s="1"/>
      <c r="B80" s="1" t="s">
        <v>12</v>
      </c>
      <c r="C80" s="1" t="s">
        <v>13</v>
      </c>
      <c r="D80" s="1" t="s">
        <v>14</v>
      </c>
      <c r="E80" s="1" t="s">
        <v>15</v>
      </c>
      <c r="F80" s="1" t="s">
        <v>17</v>
      </c>
      <c r="G80" s="1" t="s">
        <v>223</v>
      </c>
      <c r="H80" s="1" t="s">
        <v>18</v>
      </c>
      <c r="I80" s="1" t="s">
        <v>183</v>
      </c>
      <c r="K80" s="36">
        <v>0.3094035823728018</v>
      </c>
      <c r="L80" s="36">
        <v>0.47366079304933573</v>
      </c>
      <c r="M80" s="36">
        <v>0.64439119606523421</v>
      </c>
      <c r="N80" s="36">
        <v>0.78497865016443513</v>
      </c>
      <c r="O80" s="36">
        <v>0.80909456539473956</v>
      </c>
      <c r="P80" s="36">
        <v>0.96667411939056458</v>
      </c>
      <c r="Q80" s="36">
        <v>1.0310950600277935</v>
      </c>
      <c r="R80" s="36">
        <v>1.2114486488227956</v>
      </c>
      <c r="S80" s="36">
        <v>1.7167403039717919</v>
      </c>
    </row>
    <row r="81" spans="1:19">
      <c r="A81" s="1" t="s">
        <v>11</v>
      </c>
      <c r="B81" s="1">
        <v>5.0000000000000001E-3</v>
      </c>
      <c r="C81" s="1">
        <v>0.01</v>
      </c>
      <c r="D81" s="1">
        <v>3.5000000000000003E-2</v>
      </c>
      <c r="E81" s="1">
        <v>2.5000000000000001E-2</v>
      </c>
      <c r="F81" s="1">
        <v>0.05</v>
      </c>
      <c r="G81" s="1">
        <v>0.05</v>
      </c>
      <c r="H81" s="1">
        <v>0.03</v>
      </c>
      <c r="I81" s="1">
        <v>0</v>
      </c>
      <c r="K81" s="36">
        <v>0.42092769221731047</v>
      </c>
      <c r="L81" s="36">
        <v>0.64439119606523421</v>
      </c>
      <c r="M81" s="36">
        <v>0.87666114582367893</v>
      </c>
      <c r="N81" s="36">
        <v>1.0679231608102437</v>
      </c>
      <c r="O81" s="36">
        <v>1.1007316256177693</v>
      </c>
      <c r="P81" s="36">
        <v>1.3151105203138715</v>
      </c>
      <c r="Q81" s="36">
        <v>1.4027519033416358</v>
      </c>
      <c r="R81" s="36">
        <v>1.6481137033970685</v>
      </c>
      <c r="S81" s="36">
        <v>2.3355370637454289</v>
      </c>
    </row>
    <row r="82" spans="1:19">
      <c r="A82" s="1" t="s">
        <v>12</v>
      </c>
      <c r="B82" s="1" t="s">
        <v>42</v>
      </c>
      <c r="C82" s="1">
        <v>5.0000000000000001E-3</v>
      </c>
      <c r="D82" s="1">
        <v>0</v>
      </c>
      <c r="E82" s="1">
        <v>0.01</v>
      </c>
      <c r="F82" s="1">
        <v>0.01</v>
      </c>
      <c r="G82" s="1">
        <v>0.01</v>
      </c>
      <c r="H82" s="1">
        <v>0.02</v>
      </c>
      <c r="I82" s="1">
        <v>0</v>
      </c>
      <c r="K82" s="36">
        <v>0.51276189630021807</v>
      </c>
      <c r="L82" s="36">
        <v>0.78497865016443513</v>
      </c>
      <c r="M82" s="36">
        <v>1.0679231608102437</v>
      </c>
      <c r="N82" s="36">
        <v>1.300912995663116</v>
      </c>
      <c r="O82" s="36">
        <v>1.340879315153259</v>
      </c>
      <c r="P82" s="36">
        <v>1.6020294618496365</v>
      </c>
      <c r="Q82" s="36">
        <v>1.7087916506687311</v>
      </c>
      <c r="R82" s="36">
        <v>2.007684273326368</v>
      </c>
      <c r="S82" s="36">
        <v>2.8450834569165937</v>
      </c>
    </row>
    <row r="83" spans="1:19">
      <c r="A83" s="1" t="s">
        <v>13</v>
      </c>
      <c r="B83" s="1"/>
      <c r="C83" s="1" t="s">
        <v>42</v>
      </c>
      <c r="D83" s="1">
        <v>0</v>
      </c>
      <c r="E83" s="1">
        <v>0</v>
      </c>
      <c r="F83" s="1">
        <v>1.4999999999999999E-2</v>
      </c>
      <c r="G83" s="1">
        <v>1.4999999999999999E-2</v>
      </c>
      <c r="H83" s="1">
        <v>0.01</v>
      </c>
      <c r="I83" s="1">
        <v>0</v>
      </c>
      <c r="K83" s="36">
        <v>0.52851483737946392</v>
      </c>
      <c r="L83" s="36">
        <v>0.80909456539473956</v>
      </c>
      <c r="M83" s="36">
        <v>1.1007316256177693</v>
      </c>
      <c r="N83" s="36">
        <v>1.340879315153259</v>
      </c>
      <c r="O83" s="36">
        <v>1.3820734697860391</v>
      </c>
      <c r="P83" s="36">
        <v>1.6512466051315882</v>
      </c>
      <c r="Q83" s="36">
        <v>1.7612887148693264</v>
      </c>
      <c r="R83" s="36">
        <v>2.0693638409612478</v>
      </c>
      <c r="S83" s="36">
        <v>2.9324893901298976</v>
      </c>
    </row>
    <row r="84" spans="1:19">
      <c r="A84" s="1" t="s">
        <v>14</v>
      </c>
      <c r="B84" s="1"/>
      <c r="C84" s="1"/>
      <c r="D84" s="1" t="s">
        <v>42</v>
      </c>
      <c r="E84" s="1">
        <v>0</v>
      </c>
      <c r="F84" s="1">
        <v>5.0000000000000001E-3</v>
      </c>
      <c r="G84" s="1">
        <v>5.0000000000000001E-3</v>
      </c>
      <c r="H84" s="1">
        <v>5.0000000000000001E-3</v>
      </c>
      <c r="I84" s="1">
        <v>0</v>
      </c>
      <c r="K84" s="36">
        <v>0.63144858074702681</v>
      </c>
      <c r="L84" s="36">
        <v>0.96667411939056458</v>
      </c>
      <c r="M84" s="36">
        <v>1.3151105203138715</v>
      </c>
      <c r="N84" s="36">
        <v>1.6020294618496365</v>
      </c>
      <c r="O84" s="36">
        <v>1.6512466051315882</v>
      </c>
      <c r="P84" s="36">
        <v>1.9728439989378472</v>
      </c>
      <c r="Q84" s="36">
        <v>2.1043179502858087</v>
      </c>
      <c r="R84" s="36">
        <v>2.4723939008092821</v>
      </c>
      <c r="S84" s="36">
        <v>3.5036220981696675</v>
      </c>
    </row>
    <row r="85" spans="1:19">
      <c r="A85" s="1" t="s">
        <v>15</v>
      </c>
      <c r="B85" s="1"/>
      <c r="C85" s="1"/>
      <c r="D85" s="1"/>
      <c r="E85" s="1" t="s">
        <v>42</v>
      </c>
      <c r="F85" s="1">
        <v>5.0000000000000001E-3</v>
      </c>
      <c r="G85" s="1">
        <v>5.0000000000000001E-3</v>
      </c>
      <c r="H85" s="1">
        <v>5.0000000000000001E-3</v>
      </c>
      <c r="I85" s="1">
        <v>0</v>
      </c>
      <c r="K85" s="36">
        <v>0.67352947514545369</v>
      </c>
      <c r="L85" s="36">
        <v>1.0310950600277935</v>
      </c>
      <c r="M85" s="36">
        <v>1.4027519033416358</v>
      </c>
      <c r="N85" s="36">
        <v>1.7087916506687311</v>
      </c>
      <c r="O85" s="36">
        <v>1.7612887148693264</v>
      </c>
      <c r="P85" s="36">
        <v>2.1043179502858087</v>
      </c>
      <c r="Q85" s="36">
        <v>2.24455356747879</v>
      </c>
      <c r="R85" s="36">
        <v>2.6371587760873081</v>
      </c>
      <c r="S85" s="36">
        <v>3.7371099165295587</v>
      </c>
    </row>
    <row r="86" spans="1:19">
      <c r="A86" s="1" t="s">
        <v>17</v>
      </c>
      <c r="B86" s="1"/>
      <c r="C86" s="1"/>
      <c r="D86" s="1"/>
      <c r="E86" s="1"/>
      <c r="F86" s="1" t="s">
        <v>42</v>
      </c>
      <c r="G86" s="1">
        <v>0</v>
      </c>
      <c r="H86" s="1">
        <v>0</v>
      </c>
      <c r="I86" s="1">
        <v>0</v>
      </c>
      <c r="K86" s="36">
        <v>0.79133961963244437</v>
      </c>
      <c r="L86" s="36">
        <v>1.2114486488227956</v>
      </c>
      <c r="M86" s="36">
        <v>1.6481137033970685</v>
      </c>
      <c r="N86" s="36">
        <v>2.007684273326368</v>
      </c>
      <c r="O86" s="36">
        <v>2.0693638409612478</v>
      </c>
      <c r="P86" s="36">
        <v>2.4723939008092821</v>
      </c>
      <c r="Q86" s="36">
        <v>2.6371587760873081</v>
      </c>
      <c r="R86" s="36">
        <v>3.0984363710713829</v>
      </c>
      <c r="S86" s="36">
        <v>4.3907850346601105</v>
      </c>
    </row>
    <row r="87" spans="1:19">
      <c r="A87" s="1" t="s">
        <v>223</v>
      </c>
      <c r="B87" s="1"/>
      <c r="C87" s="1"/>
      <c r="D87" s="1"/>
      <c r="E87" s="1"/>
      <c r="F87" s="1"/>
      <c r="G87" s="1" t="s">
        <v>42</v>
      </c>
      <c r="H87" s="1">
        <v>0</v>
      </c>
      <c r="I87" s="1">
        <v>0</v>
      </c>
      <c r="K87" s="36">
        <v>1.1214050388952497</v>
      </c>
      <c r="L87" s="36">
        <v>1.7167403039717919</v>
      </c>
      <c r="M87" s="36">
        <v>2.3355370637454289</v>
      </c>
      <c r="N87" s="36">
        <v>2.8450834569165937</v>
      </c>
      <c r="O87" s="36">
        <v>2.9324893901298976</v>
      </c>
      <c r="P87" s="36">
        <v>3.5036220981696675</v>
      </c>
      <c r="Q87" s="36">
        <v>3.7371099165295587</v>
      </c>
      <c r="R87" s="36">
        <v>4.3907850346601105</v>
      </c>
      <c r="S87" s="36">
        <v>6.2221685107346127</v>
      </c>
    </row>
    <row r="88" spans="1:19">
      <c r="A88" s="1" t="s">
        <v>18</v>
      </c>
      <c r="B88" s="1"/>
      <c r="C88" s="1"/>
      <c r="D88" s="1"/>
      <c r="E88" s="1"/>
      <c r="F88" s="1"/>
      <c r="G88" s="1"/>
      <c r="H88" s="1" t="s">
        <v>42</v>
      </c>
      <c r="I88" s="1">
        <v>0</v>
      </c>
    </row>
    <row r="89" spans="1:19">
      <c r="A89" s="35" t="s">
        <v>183</v>
      </c>
      <c r="B89" s="1"/>
      <c r="C89" s="1"/>
      <c r="D89" s="1"/>
      <c r="E89" s="1"/>
      <c r="F89" s="1"/>
      <c r="G89" s="1"/>
      <c r="H89" s="1"/>
      <c r="I89" s="1" t="s">
        <v>42</v>
      </c>
      <c r="K89" s="18" t="s">
        <v>90</v>
      </c>
    </row>
    <row r="90" spans="1:19">
      <c r="K90" t="s">
        <v>46</v>
      </c>
    </row>
    <row r="92" spans="1:19">
      <c r="A92" s="1" t="s">
        <v>45</v>
      </c>
      <c r="B92" s="1"/>
      <c r="C92" s="1"/>
      <c r="D92" s="1"/>
      <c r="E92" s="1"/>
      <c r="F92" s="1"/>
      <c r="G92" s="1"/>
      <c r="H92" s="1"/>
      <c r="I92" s="1"/>
      <c r="J92" s="1"/>
      <c r="K92" s="9" t="s">
        <v>44</v>
      </c>
      <c r="L92" s="9"/>
      <c r="M92" s="9"/>
      <c r="N92" s="9"/>
      <c r="O92" s="9"/>
      <c r="P92" s="9"/>
      <c r="Q92" s="9"/>
      <c r="R92" s="9"/>
      <c r="S92" s="9"/>
    </row>
    <row r="93" spans="1:19">
      <c r="A93" s="1"/>
      <c r="B93" s="1" t="s">
        <v>11</v>
      </c>
      <c r="C93" s="1" t="s">
        <v>12</v>
      </c>
      <c r="D93" s="1" t="s">
        <v>13</v>
      </c>
      <c r="E93" s="1" t="s">
        <v>14</v>
      </c>
      <c r="F93" s="1" t="s">
        <v>15</v>
      </c>
      <c r="G93" s="1" t="s">
        <v>17</v>
      </c>
      <c r="H93" s="1" t="s">
        <v>223</v>
      </c>
      <c r="I93" s="1" t="s">
        <v>18</v>
      </c>
      <c r="J93" s="1" t="s">
        <v>183</v>
      </c>
      <c r="K93" s="36">
        <v>0.20210787591016005</v>
      </c>
      <c r="L93" s="36">
        <v>0.30785656446093779</v>
      </c>
      <c r="M93" s="36">
        <v>0.41671841529513737</v>
      </c>
      <c r="N93" s="36">
        <v>0.49481522992971044</v>
      </c>
      <c r="O93" s="36">
        <v>0.51530196644497728</v>
      </c>
      <c r="P93" s="36">
        <v>0.59987615170967545</v>
      </c>
      <c r="Q93" s="36">
        <v>0.63985300138818102</v>
      </c>
      <c r="R93" s="36">
        <v>0.76759943104347106</v>
      </c>
      <c r="S93" s="36">
        <v>1.1214050388952497</v>
      </c>
    </row>
    <row r="94" spans="1:19">
      <c r="A94" s="1" t="s">
        <v>11</v>
      </c>
      <c r="B94" s="1">
        <v>1</v>
      </c>
      <c r="C94" s="1">
        <f t="shared" ref="C94:I94" si="16">1-B81</f>
        <v>0.995</v>
      </c>
      <c r="D94" s="1">
        <f t="shared" si="16"/>
        <v>0.99</v>
      </c>
      <c r="E94" s="1">
        <f t="shared" si="16"/>
        <v>0.96499999999999997</v>
      </c>
      <c r="F94" s="1">
        <f t="shared" si="16"/>
        <v>0.97499999999999998</v>
      </c>
      <c r="G94" s="1">
        <f t="shared" si="16"/>
        <v>0.95</v>
      </c>
      <c r="H94" s="1">
        <f t="shared" si="16"/>
        <v>0.95</v>
      </c>
      <c r="I94" s="1">
        <f t="shared" si="16"/>
        <v>0.97</v>
      </c>
      <c r="J94" s="1">
        <v>1</v>
      </c>
      <c r="K94" s="36">
        <v>0.30785656446093779</v>
      </c>
      <c r="L94" s="36">
        <v>0.47366079304933573</v>
      </c>
      <c r="M94" s="36">
        <v>0.64116924008490805</v>
      </c>
      <c r="N94" s="36">
        <v>0.78497865016443513</v>
      </c>
      <c r="O94" s="36">
        <v>0.80100361974079215</v>
      </c>
      <c r="P94" s="36">
        <v>0.95700737819665893</v>
      </c>
      <c r="Q94" s="36">
        <v>1.0207841094275156</v>
      </c>
      <c r="R94" s="36">
        <v>1.1872196758463396</v>
      </c>
      <c r="S94" s="36">
        <v>1.7167403039717919</v>
      </c>
    </row>
    <row r="95" spans="1:19">
      <c r="A95" s="1" t="s">
        <v>12</v>
      </c>
      <c r="B95" s="1">
        <f>C94</f>
        <v>0.995</v>
      </c>
      <c r="C95" s="1">
        <v>1</v>
      </c>
      <c r="D95" s="1">
        <f>1-C82</f>
        <v>0.995</v>
      </c>
      <c r="E95" s="1">
        <v>1</v>
      </c>
      <c r="F95" s="1">
        <f>1-E82</f>
        <v>0.99</v>
      </c>
      <c r="G95" s="1">
        <f>1-F82</f>
        <v>0.99</v>
      </c>
      <c r="H95" s="1">
        <f>1-G82</f>
        <v>0.99</v>
      </c>
      <c r="I95" s="1">
        <f>1-H82</f>
        <v>0.98</v>
      </c>
      <c r="J95" s="1">
        <v>1</v>
      </c>
      <c r="K95" s="36">
        <v>0.41671841529513737</v>
      </c>
      <c r="L95" s="36">
        <v>0.64116924008490805</v>
      </c>
      <c r="M95" s="36">
        <v>0.87666114582367893</v>
      </c>
      <c r="N95" s="36">
        <v>1.0679231608102437</v>
      </c>
      <c r="O95" s="36">
        <v>1.1007316256177693</v>
      </c>
      <c r="P95" s="36">
        <v>1.2953838625091634</v>
      </c>
      <c r="Q95" s="36">
        <v>1.3817106247915112</v>
      </c>
      <c r="R95" s="36">
        <v>1.6316325663630977</v>
      </c>
      <c r="S95" s="36">
        <v>2.3355370637454289</v>
      </c>
    </row>
    <row r="96" spans="1:19">
      <c r="A96" s="1" t="s">
        <v>13</v>
      </c>
      <c r="B96" s="1">
        <f>D94</f>
        <v>0.99</v>
      </c>
      <c r="C96" s="1">
        <f>D95</f>
        <v>0.995</v>
      </c>
      <c r="D96" s="1">
        <v>1</v>
      </c>
      <c r="E96" s="1">
        <v>1</v>
      </c>
      <c r="F96" s="1">
        <v>1</v>
      </c>
      <c r="G96" s="1">
        <f t="shared" ref="G96:I98" si="17">1-F83</f>
        <v>0.98499999999999999</v>
      </c>
      <c r="H96" s="1">
        <f t="shared" si="17"/>
        <v>0.98499999999999999</v>
      </c>
      <c r="I96" s="1">
        <f t="shared" si="17"/>
        <v>0.99</v>
      </c>
      <c r="J96" s="1">
        <v>1</v>
      </c>
      <c r="K96" s="36">
        <v>0.49481522992971044</v>
      </c>
      <c r="L96" s="36">
        <v>0.78497865016443513</v>
      </c>
      <c r="M96" s="36">
        <v>1.0679231608102437</v>
      </c>
      <c r="N96" s="36">
        <v>1.300912995663116</v>
      </c>
      <c r="O96" s="36">
        <v>1.340879315153259</v>
      </c>
      <c r="P96" s="36">
        <v>1.5940193145403883</v>
      </c>
      <c r="Q96" s="36">
        <v>1.7002476924153873</v>
      </c>
      <c r="R96" s="36">
        <v>1.9976458519597362</v>
      </c>
      <c r="S96" s="36">
        <v>2.8450834569165937</v>
      </c>
    </row>
    <row r="97" spans="1:19">
      <c r="A97" s="1" t="s">
        <v>14</v>
      </c>
      <c r="B97" s="1">
        <f>E94</f>
        <v>0.96499999999999997</v>
      </c>
      <c r="C97" s="1">
        <f>E95</f>
        <v>1</v>
      </c>
      <c r="D97" s="1">
        <f>E96</f>
        <v>1</v>
      </c>
      <c r="E97" s="1">
        <v>1</v>
      </c>
      <c r="F97" s="1">
        <v>1</v>
      </c>
      <c r="G97" s="1">
        <f t="shared" si="17"/>
        <v>0.995</v>
      </c>
      <c r="H97" s="1">
        <f t="shared" si="17"/>
        <v>0.995</v>
      </c>
      <c r="I97" s="1">
        <f t="shared" si="17"/>
        <v>0.995</v>
      </c>
      <c r="J97" s="1">
        <v>1</v>
      </c>
      <c r="K97" s="36">
        <v>0.51530196644497728</v>
      </c>
      <c r="L97" s="36">
        <v>0.80100361974079215</v>
      </c>
      <c r="M97" s="36">
        <v>1.1007316256177693</v>
      </c>
      <c r="N97" s="36">
        <v>1.340879315153259</v>
      </c>
      <c r="O97" s="36">
        <v>1.3820734697860391</v>
      </c>
      <c r="P97" s="36">
        <v>1.6429903721059302</v>
      </c>
      <c r="Q97" s="36">
        <v>1.7524822712949797</v>
      </c>
      <c r="R97" s="36">
        <v>2.0590170217564414</v>
      </c>
      <c r="S97" s="36">
        <v>2.9324893901298976</v>
      </c>
    </row>
    <row r="98" spans="1:19">
      <c r="A98" s="1" t="s">
        <v>15</v>
      </c>
      <c r="B98" s="1">
        <f>F94</f>
        <v>0.97499999999999998</v>
      </c>
      <c r="C98" s="1">
        <f>F95</f>
        <v>0.99</v>
      </c>
      <c r="D98" s="1">
        <f>F96</f>
        <v>1</v>
      </c>
      <c r="E98" s="1">
        <f>F97</f>
        <v>1</v>
      </c>
      <c r="F98" s="1">
        <v>1</v>
      </c>
      <c r="G98" s="1">
        <f t="shared" si="17"/>
        <v>0.995</v>
      </c>
      <c r="H98" s="1">
        <f t="shared" si="17"/>
        <v>0.995</v>
      </c>
      <c r="I98" s="1">
        <f t="shared" si="17"/>
        <v>0.995</v>
      </c>
      <c r="J98" s="1">
        <v>1</v>
      </c>
      <c r="K98" s="36">
        <v>0.59987615170967545</v>
      </c>
      <c r="L98" s="36">
        <v>0.95700737819665893</v>
      </c>
      <c r="M98" s="36">
        <v>1.2953838625091634</v>
      </c>
      <c r="N98" s="36">
        <v>1.5940193145403883</v>
      </c>
      <c r="O98" s="36">
        <v>1.6429903721059302</v>
      </c>
      <c r="P98" s="36">
        <v>1.9728439989378472</v>
      </c>
      <c r="Q98" s="36">
        <v>2.1043179502858087</v>
      </c>
      <c r="R98" s="36">
        <v>2.4723939008092821</v>
      </c>
      <c r="S98" s="36">
        <v>3.5036220981696675</v>
      </c>
    </row>
    <row r="99" spans="1:19">
      <c r="A99" s="1" t="s">
        <v>17</v>
      </c>
      <c r="B99" s="1">
        <f>G94</f>
        <v>0.95</v>
      </c>
      <c r="C99" s="1">
        <f>G95</f>
        <v>0.99</v>
      </c>
      <c r="D99" s="1">
        <f>G96</f>
        <v>0.98499999999999999</v>
      </c>
      <c r="E99" s="1">
        <f>G97</f>
        <v>0.995</v>
      </c>
      <c r="F99" s="1">
        <f>G98</f>
        <v>0.995</v>
      </c>
      <c r="G99" s="1">
        <v>1</v>
      </c>
      <c r="H99" s="1">
        <v>1</v>
      </c>
      <c r="I99" s="1">
        <v>1</v>
      </c>
      <c r="J99" s="1">
        <v>1</v>
      </c>
      <c r="K99" s="36">
        <v>0.63985300138818102</v>
      </c>
      <c r="L99" s="36">
        <v>1.0207841094275156</v>
      </c>
      <c r="M99" s="36">
        <v>1.3817106247915112</v>
      </c>
      <c r="N99" s="36">
        <v>1.7002476924153873</v>
      </c>
      <c r="O99" s="36">
        <v>1.7524822712949797</v>
      </c>
      <c r="P99" s="36">
        <v>2.1043179502858087</v>
      </c>
      <c r="Q99" s="36">
        <v>2.24455356747879</v>
      </c>
      <c r="R99" s="36">
        <v>2.6371587760873081</v>
      </c>
      <c r="S99" s="36">
        <v>3.7371099165295587</v>
      </c>
    </row>
    <row r="100" spans="1:19">
      <c r="A100" s="1" t="s">
        <v>223</v>
      </c>
      <c r="B100" s="1">
        <f>H94</f>
        <v>0.95</v>
      </c>
      <c r="C100" s="1">
        <f>H95</f>
        <v>0.99</v>
      </c>
      <c r="D100" s="1">
        <f>H96</f>
        <v>0.98499999999999999</v>
      </c>
      <c r="E100" s="1">
        <f>H97</f>
        <v>0.995</v>
      </c>
      <c r="F100" s="1">
        <f>H98</f>
        <v>0.995</v>
      </c>
      <c r="G100" s="1">
        <f>H99</f>
        <v>1</v>
      </c>
      <c r="H100" s="1">
        <v>1</v>
      </c>
      <c r="I100" s="1">
        <v>1</v>
      </c>
      <c r="J100" s="1">
        <v>1</v>
      </c>
      <c r="K100" s="36">
        <v>0.76759943104347106</v>
      </c>
      <c r="L100" s="36">
        <v>1.1872196758463396</v>
      </c>
      <c r="M100" s="36">
        <v>1.6316325663630977</v>
      </c>
      <c r="N100" s="36">
        <v>1.9976458519597362</v>
      </c>
      <c r="O100" s="36">
        <v>2.0590170217564414</v>
      </c>
      <c r="P100" s="36">
        <v>2.4723939008092821</v>
      </c>
      <c r="Q100" s="36">
        <v>2.6371587760873081</v>
      </c>
      <c r="R100" s="36">
        <v>3.0984363710713829</v>
      </c>
      <c r="S100" s="36">
        <v>4.3907850346601105</v>
      </c>
    </row>
    <row r="101" spans="1:19">
      <c r="A101" s="1" t="s">
        <v>18</v>
      </c>
      <c r="B101" s="1">
        <f>I94</f>
        <v>0.97</v>
      </c>
      <c r="C101" s="1">
        <f>I95</f>
        <v>0.98</v>
      </c>
      <c r="D101" s="1">
        <f>I96</f>
        <v>0.99</v>
      </c>
      <c r="E101" s="1">
        <f>I97</f>
        <v>0.995</v>
      </c>
      <c r="F101" s="1">
        <f>I98</f>
        <v>0.995</v>
      </c>
      <c r="G101" s="1">
        <f>I99</f>
        <v>1</v>
      </c>
      <c r="H101" s="1">
        <f>I100</f>
        <v>1</v>
      </c>
      <c r="I101" s="1">
        <v>1</v>
      </c>
      <c r="J101" s="1">
        <v>1</v>
      </c>
      <c r="K101" s="36">
        <v>1.1214050388952497</v>
      </c>
      <c r="L101" s="36">
        <v>1.7167403039717919</v>
      </c>
      <c r="M101" s="36">
        <v>2.3355370637454289</v>
      </c>
      <c r="N101" s="36">
        <v>2.8450834569165937</v>
      </c>
      <c r="O101" s="36">
        <v>2.9324893901298976</v>
      </c>
      <c r="P101" s="36">
        <v>3.5036220981696675</v>
      </c>
      <c r="Q101" s="36">
        <v>3.7371099165295587</v>
      </c>
      <c r="R101" s="36">
        <v>4.3907850346601105</v>
      </c>
      <c r="S101" s="36">
        <v>6.2221685107346127</v>
      </c>
    </row>
    <row r="102" spans="1:19">
      <c r="A102" s="1" t="s">
        <v>183</v>
      </c>
      <c r="B102" s="1">
        <v>1</v>
      </c>
      <c r="C102" s="1">
        <v>1</v>
      </c>
      <c r="D102" s="1">
        <v>1</v>
      </c>
      <c r="E102" s="1">
        <v>1</v>
      </c>
      <c r="F102" s="1">
        <v>1</v>
      </c>
      <c r="G102" s="1">
        <v>1</v>
      </c>
      <c r="H102" s="1">
        <v>1</v>
      </c>
      <c r="I102" s="1">
        <v>1</v>
      </c>
      <c r="J102" s="1">
        <v>1</v>
      </c>
      <c r="K102" s="11">
        <f>SUM(K93:K101)</f>
        <v>5.0655336750775009</v>
      </c>
      <c r="L102" s="11">
        <f t="shared" ref="L102:S102" si="18">SUM(L93:L101)</f>
        <v>7.8904203349427142</v>
      </c>
      <c r="M102" s="11">
        <f t="shared" si="18"/>
        <v>10.74746770504094</v>
      </c>
      <c r="N102" s="11">
        <f t="shared" si="18"/>
        <v>13.126505667552872</v>
      </c>
      <c r="O102" s="11">
        <f t="shared" si="18"/>
        <v>13.526969052030086</v>
      </c>
      <c r="P102" s="11">
        <f t="shared" si="18"/>
        <v>16.142455027264422</v>
      </c>
      <c r="Q102" s="11">
        <f t="shared" si="18"/>
        <v>17.218217909699039</v>
      </c>
      <c r="R102" s="11">
        <f t="shared" si="18"/>
        <v>20.24188862959717</v>
      </c>
      <c r="S102" s="11">
        <f t="shared" si="18"/>
        <v>28.804940813752907</v>
      </c>
    </row>
    <row r="110" spans="1:19">
      <c r="A110" s="18" t="s">
        <v>91</v>
      </c>
    </row>
    <row r="111" spans="1:19">
      <c r="A111" t="s">
        <v>80</v>
      </c>
    </row>
    <row r="112" spans="1:19">
      <c r="A112" t="s">
        <v>47</v>
      </c>
      <c r="B112">
        <v>5.2856992961083957</v>
      </c>
      <c r="F112">
        <v>3.2934635836907519E-2</v>
      </c>
    </row>
    <row r="113" spans="1:6">
      <c r="A113" t="s">
        <v>48</v>
      </c>
      <c r="B113">
        <v>0.74979030998897944</v>
      </c>
      <c r="F113">
        <v>3.7328658979708653E-3</v>
      </c>
    </row>
    <row r="115" spans="1:6">
      <c r="A115" t="s">
        <v>49</v>
      </c>
      <c r="B115">
        <f>SUMPRODUCT(D32:D39,O57:O64)</f>
        <v>2.5781741215559836E-5</v>
      </c>
    </row>
    <row r="116" spans="1:6">
      <c r="A116" t="s">
        <v>50</v>
      </c>
      <c r="B116">
        <f>SUMPRODUCT(C32:C39,O57:O64)</f>
        <v>8.2527562861145173E-8</v>
      </c>
    </row>
    <row r="122" spans="1:6">
      <c r="A122" s="92" t="s">
        <v>52</v>
      </c>
      <c r="B122" s="92"/>
      <c r="C122" s="92" t="s">
        <v>51</v>
      </c>
      <c r="D122" s="92"/>
    </row>
    <row r="123" spans="1:6">
      <c r="A123" t="s">
        <v>53</v>
      </c>
      <c r="B123">
        <f>B112*B8*1000000/(B10^2*B9^2)</f>
        <v>3.2934635836907512E-2</v>
      </c>
      <c r="C123" t="s">
        <v>78</v>
      </c>
      <c r="D123">
        <f>B113*B8*1000000/(B10^2*B9^2)</f>
        <v>4.6718644837987827E-3</v>
      </c>
    </row>
    <row r="124" spans="1:6">
      <c r="A124" t="s">
        <v>54</v>
      </c>
      <c r="B124">
        <f>B115*B8*1000000/(B10*B9)</f>
        <v>6.4780718072782672E-4</v>
      </c>
      <c r="C124" t="s">
        <v>79</v>
      </c>
      <c r="D124">
        <f>B116*B8*1000000/(B10*B9)</f>
        <v>2.0736360427491812E-6</v>
      </c>
    </row>
    <row r="126" spans="1:6">
      <c r="A126" s="91" t="s">
        <v>92</v>
      </c>
      <c r="B126" s="91"/>
    </row>
    <row r="127" spans="1:6">
      <c r="A127" t="s">
        <v>58</v>
      </c>
      <c r="B127" s="10">
        <v>0.9983688402455746</v>
      </c>
    </row>
    <row r="128" spans="1:6">
      <c r="A128" t="s">
        <v>59</v>
      </c>
      <c r="B128">
        <f>B127^3-(1-D124)*B127^2+(D123-3*D124^2-2*D124)*B127-(D123*D124-D124^2-D124^3)</f>
        <v>3.0363178694896103E-3</v>
      </c>
    </row>
    <row r="131" spans="1:16">
      <c r="A131" t="s">
        <v>60</v>
      </c>
      <c r="B131" s="10">
        <v>0.9908012541708705</v>
      </c>
    </row>
    <row r="132" spans="1:16">
      <c r="A132" t="s">
        <v>61</v>
      </c>
      <c r="B132">
        <f>B131^3-(1-B124)*B131^2+(B123-3*B124^2-2*B124)*B131-(B123*B124-B124^2-B124^3)</f>
        <v>2.2931473029390383E-2</v>
      </c>
      <c r="K132" s="19" t="s">
        <v>93</v>
      </c>
      <c r="L132" s="19"/>
    </row>
    <row r="133" spans="1:16">
      <c r="K133" t="s">
        <v>39</v>
      </c>
      <c r="L133">
        <v>1</v>
      </c>
    </row>
    <row r="134" spans="1:16">
      <c r="A134" t="s">
        <v>62</v>
      </c>
      <c r="K134" t="s">
        <v>40</v>
      </c>
      <c r="L134">
        <f>-(1-D124)</f>
        <v>-0.99999792636395723</v>
      </c>
    </row>
    <row r="135" spans="1:16">
      <c r="E135" s="92" t="s">
        <v>77</v>
      </c>
      <c r="F135" s="92"/>
      <c r="G135" s="92"/>
      <c r="K135" t="s">
        <v>56</v>
      </c>
      <c r="L135">
        <f>D123-3*D124^2-2*D124</f>
        <v>4.6677171988133851E-3</v>
      </c>
    </row>
    <row r="136" spans="1:16">
      <c r="A136" t="s">
        <v>63</v>
      </c>
      <c r="B136" t="s">
        <v>65</v>
      </c>
      <c r="C136" t="s">
        <v>64</v>
      </c>
      <c r="E136" t="s">
        <v>70</v>
      </c>
      <c r="G136" t="s">
        <v>71</v>
      </c>
      <c r="K136" t="s">
        <v>57</v>
      </c>
      <c r="L136">
        <f>-(D123*D124-D124^2-D124^3)</f>
        <v>-9.6834466050906E-9</v>
      </c>
    </row>
    <row r="137" spans="1:16">
      <c r="A137" s="11" t="s">
        <v>39</v>
      </c>
      <c r="B137">
        <f>1</f>
        <v>1</v>
      </c>
      <c r="C137">
        <f>1</f>
        <v>1</v>
      </c>
      <c r="D137" s="12" t="s">
        <v>72</v>
      </c>
      <c r="E137">
        <f>B139-(B138^2/3)</f>
        <v>-0.30126383925120759</v>
      </c>
      <c r="G137">
        <f>C139-(C138^2/3)</f>
        <v>-0.32866423371192477</v>
      </c>
    </row>
    <row r="138" spans="1:16">
      <c r="A138" s="11" t="s">
        <v>40</v>
      </c>
      <c r="B138">
        <f>B124-1</f>
        <v>-0.99935219281927212</v>
      </c>
      <c r="C138">
        <f>D124-1</f>
        <v>-0.99999792636395723</v>
      </c>
      <c r="D138" s="12" t="s">
        <v>73</v>
      </c>
      <c r="E138">
        <f>(2*B138^3/27)+B140-(B138*B139/3)</f>
        <v>-6.3412036412303724E-2</v>
      </c>
      <c r="G138">
        <f>(2*C138^3/27)+C140-(C138*C139/3)</f>
        <v>-7.2517720443911138E-2</v>
      </c>
    </row>
    <row r="139" spans="1:16">
      <c r="A139" s="11" t="s">
        <v>56</v>
      </c>
      <c r="B139">
        <f>B123-3*B124^2-2*B124</f>
        <v>3.1637762513021653E-2</v>
      </c>
      <c r="C139">
        <f>D123-3*D124^2-2*D124</f>
        <v>4.6677171988133851E-3</v>
      </c>
      <c r="D139" s="12" t="s">
        <v>74</v>
      </c>
      <c r="E139" s="10">
        <f>(E137/3)^3+(E138/2)^2</f>
        <v>-7.4201197789820414E-6</v>
      </c>
      <c r="G139" s="10">
        <f>(G137/3)^3+(G138/2)^2</f>
        <v>-1.9761833715465672E-7</v>
      </c>
    </row>
    <row r="140" spans="1:16" ht="15" thickBot="1">
      <c r="A140" s="11" t="s">
        <v>57</v>
      </c>
      <c r="B140">
        <f>B124^3+B124^2-B123*B124</f>
        <v>-2.0915367591434649E-5</v>
      </c>
      <c r="C140">
        <f>D124^3+D124^2-D123*D124</f>
        <v>-9.6834466050906E-9</v>
      </c>
      <c r="D140" s="12" t="s">
        <v>75</v>
      </c>
      <c r="E140" t="e">
        <f>(-E138/2-E142)^(1/3)+(-E138/2+E142)^(1/3)</f>
        <v>#NUM!</v>
      </c>
      <c r="G140" t="e">
        <f>(-G138/2-G142)^(1/3)+(-G138/2+G142)^(1/3)</f>
        <v>#NUM!</v>
      </c>
    </row>
    <row r="141" spans="1:16" ht="15" thickBot="1">
      <c r="A141" s="11" t="s">
        <v>66</v>
      </c>
      <c r="B141">
        <f>-4*B139^3*B137+B139^2*B138^2+18*B139*B138*B137*B140-27*B140^2*B137^2-4*B140*B138^3</f>
        <v>8.013729361300918E-4</v>
      </c>
      <c r="C141">
        <f>-4*C139^3*C137+C139^2*C138^2+18*C139*C138*C137*C140-27*C140^2*C137^2-4*C140*C138^3</f>
        <v>2.1342780412704556E-5</v>
      </c>
      <c r="D141" s="13" t="s">
        <v>67</v>
      </c>
      <c r="E141" s="14" t="e">
        <f>E140-B138/3</f>
        <v>#NUM!</v>
      </c>
      <c r="G141" s="14" t="e">
        <f>G140-C138/3</f>
        <v>#NUM!</v>
      </c>
    </row>
    <row r="142" spans="1:16" ht="15" thickBot="1">
      <c r="A142" s="11" t="s">
        <v>67</v>
      </c>
      <c r="B142" s="15" t="e">
        <f>(1/3)*B144-((3*B139-B138^2)/(3*B144))-B138/3</f>
        <v>#NUM!</v>
      </c>
      <c r="C142" s="15" t="e">
        <f>(1/3)*B145-((3*C139-C138^2)/(3*B145))-C138/3</f>
        <v>#NUM!</v>
      </c>
      <c r="D142" s="16" t="s">
        <v>76</v>
      </c>
      <c r="E142" t="e">
        <f>SQRT(E139)</f>
        <v>#NUM!</v>
      </c>
      <c r="G142" t="e">
        <f>SQRT(G139)</f>
        <v>#NUM!</v>
      </c>
      <c r="K142" s="92" t="s">
        <v>95</v>
      </c>
      <c r="L142" s="92"/>
      <c r="M142" s="92"/>
      <c r="N142" s="92"/>
      <c r="O142" s="91" t="s">
        <v>109</v>
      </c>
      <c r="P142" s="91"/>
    </row>
    <row r="144" spans="1:16">
      <c r="A144" t="s">
        <v>68</v>
      </c>
      <c r="B144" t="e">
        <f>((9*B139*B138-27*B140-2*B138^3+3*(-3*B141)^(1/2))/2)^(1/3)</f>
        <v>#NUM!</v>
      </c>
      <c r="K144" t="s">
        <v>96</v>
      </c>
      <c r="L144" t="s">
        <v>65</v>
      </c>
    </row>
    <row r="145" spans="1:13">
      <c r="A145" t="s">
        <v>69</v>
      </c>
      <c r="B145" t="e">
        <f>((9*C139*C138-27*C140-2*C138^3+3*(-3*C141)^(1/2))/2)^(1/3)</f>
        <v>#NUM!</v>
      </c>
      <c r="K145" t="s">
        <v>97</v>
      </c>
      <c r="L145">
        <f>B123</f>
        <v>3.2934635836907512E-2</v>
      </c>
    </row>
    <row r="146" spans="1:13">
      <c r="K146" t="s">
        <v>98</v>
      </c>
      <c r="L146">
        <f>B124</f>
        <v>6.4780718072782672E-4</v>
      </c>
    </row>
    <row r="148" spans="1:13">
      <c r="K148" s="19"/>
      <c r="L148" s="19"/>
      <c r="M148" s="19"/>
    </row>
    <row r="149" spans="1:13">
      <c r="K149" s="10" t="s">
        <v>67</v>
      </c>
      <c r="L149" s="10">
        <v>0.96604715280727771</v>
      </c>
    </row>
    <row r="150" spans="1:13">
      <c r="K150" s="10" t="s">
        <v>99</v>
      </c>
      <c r="L150" s="10">
        <v>1.269597252039715E-4</v>
      </c>
    </row>
    <row r="151" spans="1:13">
      <c r="K151" s="10" t="s">
        <v>100</v>
      </c>
      <c r="L151" s="10">
        <v>3.3699906546343285E-2</v>
      </c>
    </row>
    <row r="167" spans="12:13">
      <c r="L167">
        <v>1.0331065615312149</v>
      </c>
      <c r="M167">
        <v>2.6559405070889894E-5</v>
      </c>
    </row>
    <row r="168" spans="12:13">
      <c r="L168">
        <v>1.5819245371438162</v>
      </c>
      <c r="M168">
        <v>4.0224014113576227E-5</v>
      </c>
    </row>
    <row r="169" spans="12:13">
      <c r="L169">
        <v>2.1521692908278864</v>
      </c>
      <c r="M169">
        <v>5.6101008542213883E-5</v>
      </c>
    </row>
    <row r="170" spans="12:13">
      <c r="L170">
        <v>2.6212472302647365</v>
      </c>
      <c r="M170">
        <v>7.2392630014587314E-5</v>
      </c>
    </row>
    <row r="171" spans="12:13">
      <c r="L171">
        <v>2.7018867083939018</v>
      </c>
      <c r="M171">
        <v>7.2453165937723908E-5</v>
      </c>
    </row>
    <row r="172" spans="12:13">
      <c r="L172">
        <v>3.2268911719287701</v>
      </c>
      <c r="M172">
        <v>8.9852282449684958E-5</v>
      </c>
    </row>
    <row r="173" spans="12:13">
      <c r="L173">
        <v>3.4419371325682033</v>
      </c>
      <c r="M173">
        <v>1.0026042590115472E-4</v>
      </c>
    </row>
    <row r="174" spans="12:13">
      <c r="L174">
        <v>4.0447555509185875</v>
      </c>
      <c r="M174">
        <v>1.2007397091257309E-4</v>
      </c>
    </row>
    <row r="175" spans="12:13">
      <c r="L175">
        <v>5.7348891683032104</v>
      </c>
      <c r="M175">
        <v>1.615082275083351E-4</v>
      </c>
    </row>
  </sheetData>
  <mergeCells count="10">
    <mergeCell ref="O142:P142"/>
    <mergeCell ref="K74:L74"/>
    <mergeCell ref="A126:B126"/>
    <mergeCell ref="K142:N142"/>
    <mergeCell ref="A1:B1"/>
    <mergeCell ref="A25:D25"/>
    <mergeCell ref="A122:B122"/>
    <mergeCell ref="C122:D122"/>
    <mergeCell ref="E135:G135"/>
    <mergeCell ref="E23:F23"/>
  </mergeCell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3"/>
  <dimension ref="A1:AO80"/>
  <sheetViews>
    <sheetView zoomScale="60" zoomScaleNormal="60" workbookViewId="0">
      <selection activeCell="I20" sqref="I20"/>
    </sheetView>
  </sheetViews>
  <sheetFormatPr defaultRowHeight="14.25"/>
  <cols>
    <col min="1" max="1" width="15.375" customWidth="1"/>
    <col min="2" max="2" width="12" customWidth="1"/>
    <col min="4" max="4" width="11.75" customWidth="1"/>
    <col min="5" max="5" width="10.875" customWidth="1"/>
    <col min="9" max="9" width="19.75" customWidth="1"/>
  </cols>
  <sheetData>
    <row r="1" spans="1:15">
      <c r="A1" t="s">
        <v>9</v>
      </c>
      <c r="B1" t="s">
        <v>82</v>
      </c>
      <c r="C1" t="s">
        <v>83</v>
      </c>
      <c r="D1" t="s">
        <v>84</v>
      </c>
      <c r="E1" t="s">
        <v>85</v>
      </c>
      <c r="F1" t="s">
        <v>107</v>
      </c>
    </row>
    <row r="2" spans="1:15">
      <c r="A2" s="3" t="s">
        <v>11</v>
      </c>
      <c r="B2" s="17">
        <f>'Miejsca Zerowe'!N9</f>
        <v>1238.9793612991366</v>
      </c>
      <c r="C2">
        <f>'Miejsca Zerowe'!F26</f>
        <v>1</v>
      </c>
      <c r="D2">
        <f>'Miejsca Zerowe'!C32</f>
        <v>4.9516563323275399E-4</v>
      </c>
      <c r="E2">
        <f>'Miejsca Zerowe'!D32</f>
        <v>0.61350000000000005</v>
      </c>
      <c r="F2">
        <f>'Miejsca Zerowe'!F9/100</f>
        <v>0.61350000000000005</v>
      </c>
      <c r="N2">
        <v>1.3235038615161629</v>
      </c>
      <c r="O2">
        <v>0.2156959798728417</v>
      </c>
    </row>
    <row r="3" spans="1:15">
      <c r="A3" s="3" t="s">
        <v>12</v>
      </c>
      <c r="B3" s="17">
        <v>1.7035412196026982</v>
      </c>
      <c r="D3">
        <f>'Miejsca Zerowe'!C33</f>
        <v>2.5303203682404261E-4</v>
      </c>
      <c r="E3">
        <f>'Miejsca Zerowe'!D33</f>
        <v>0.11030000000000001</v>
      </c>
      <c r="F3">
        <f>'Miejsca Zerowe'!F10/100</f>
        <v>0.1103</v>
      </c>
      <c r="N3">
        <v>0.15263868818976151</v>
      </c>
      <c r="O3" t="s">
        <v>94</v>
      </c>
    </row>
    <row r="4" spans="1:15">
      <c r="A4" s="3" t="s">
        <v>13</v>
      </c>
      <c r="B4" s="17">
        <f>'Miejsca Zerowe'!N11</f>
        <v>182.91493935346588</v>
      </c>
      <c r="D4">
        <f>'Miejsca Zerowe'!C34</f>
        <v>3.5699653746605083E-4</v>
      </c>
      <c r="E4">
        <f>'Miejsca Zerowe'!D34</f>
        <v>6.5299999999999997E-2</v>
      </c>
      <c r="F4">
        <f>'Miejsca Zerowe'!F11/100</f>
        <v>6.5299999999999997E-2</v>
      </c>
      <c r="N4">
        <v>2.5733595243883682</v>
      </c>
      <c r="O4" t="s">
        <v>94</v>
      </c>
    </row>
    <row r="5" spans="1:15">
      <c r="A5" s="3" t="s">
        <v>14</v>
      </c>
      <c r="B5" s="17">
        <f>'Miejsca Zerowe'!N12</f>
        <v>99.258432982568394</v>
      </c>
      <c r="D5">
        <f>'Miejsca Zerowe'!C35</f>
        <v>3.9291371854368404E-5</v>
      </c>
      <c r="E5">
        <f>'Miejsca Zerowe'!D35</f>
        <v>3.9000000000000003E-3</v>
      </c>
      <c r="F5">
        <f>'Miejsca Zerowe'!F12/100</f>
        <v>3.9000000000000003E-3</v>
      </c>
      <c r="N5">
        <v>9.5184722761694327E-5</v>
      </c>
    </row>
    <row r="6" spans="1:15">
      <c r="A6" s="3" t="s">
        <v>15</v>
      </c>
      <c r="B6" s="17">
        <f>'Miejsca Zerowe'!N13</f>
        <v>82.955734135031364</v>
      </c>
      <c r="D6">
        <f>'Miejsca Zerowe'!C36</f>
        <v>5.1834873680952135E-5</v>
      </c>
      <c r="E6">
        <f>'Miejsca Zerowe'!D36</f>
        <v>4.3E-3</v>
      </c>
      <c r="F6">
        <f>'Miejsca Zerowe'!F13/100</f>
        <v>4.3E-3</v>
      </c>
    </row>
    <row r="7" spans="1:15">
      <c r="A7" s="3" t="s">
        <v>17</v>
      </c>
      <c r="B7" s="17">
        <f>'Miejsca Zerowe'!N14</f>
        <v>44.150122754516474</v>
      </c>
      <c r="D7">
        <f>'Miejsca Zerowe'!C37</f>
        <v>3.3974990473759282E-5</v>
      </c>
      <c r="E7">
        <f>'Miejsca Zerowe'!D37</f>
        <v>1.5E-3</v>
      </c>
      <c r="F7">
        <f>'Miejsca Zerowe'!F14/100</f>
        <v>1.5E-3</v>
      </c>
    </row>
    <row r="8" spans="1:15">
      <c r="A8" s="3" t="s">
        <v>223</v>
      </c>
      <c r="B8" s="17">
        <f>'Miejsca Zerowe'!N15</f>
        <v>37.227641019164345</v>
      </c>
      <c r="D8">
        <f>'Miejsca Zerowe'!C38</f>
        <v>5.1037346121982393E-5</v>
      </c>
      <c r="E8">
        <f>'Miejsca Zerowe'!D38</f>
        <v>1.9E-3</v>
      </c>
      <c r="F8">
        <f>'Miejsca Zerowe'!F15/100</f>
        <v>1.9E-3</v>
      </c>
    </row>
    <row r="9" spans="1:15">
      <c r="A9" s="3" t="s">
        <v>18</v>
      </c>
      <c r="B9" s="17">
        <f>'Miejsca Zerowe'!N16</f>
        <v>19.191627830563004</v>
      </c>
      <c r="D9">
        <f>'Miejsca Zerowe'!C39</f>
        <v>2.0321361139513043E-4</v>
      </c>
      <c r="E9">
        <f>'Miejsca Zerowe'!D39</f>
        <v>3.9000000000000003E-3</v>
      </c>
      <c r="F9">
        <f>'Miejsca Zerowe'!F16/100</f>
        <v>3.9000000000000003E-3</v>
      </c>
    </row>
    <row r="10" spans="1:15">
      <c r="A10" s="3" t="s">
        <v>183</v>
      </c>
      <c r="B10" s="17">
        <f>'Miejsca Zerowe'!N17</f>
        <v>2.5632272963074367</v>
      </c>
      <c r="D10">
        <f>'Miejsca Zerowe'!C40</f>
        <v>7.6232022139234995E-2</v>
      </c>
      <c r="E10">
        <f>'Miejsca Zerowe'!D40</f>
        <v>0.19539999999999996</v>
      </c>
      <c r="F10">
        <f>'Miejsca Zerowe'!F17/100</f>
        <v>0.19539999999999999</v>
      </c>
    </row>
    <row r="15" spans="1:15">
      <c r="A15" t="s">
        <v>101</v>
      </c>
      <c r="B15" t="s">
        <v>81</v>
      </c>
      <c r="C15" t="s">
        <v>8</v>
      </c>
      <c r="D15" t="s">
        <v>42</v>
      </c>
      <c r="E15" t="s">
        <v>102</v>
      </c>
      <c r="F15" t="s">
        <v>115</v>
      </c>
      <c r="G15" t="s">
        <v>116</v>
      </c>
      <c r="H15" t="s">
        <v>105</v>
      </c>
      <c r="I15" t="s">
        <v>106</v>
      </c>
    </row>
    <row r="16" spans="1:15">
      <c r="A16" s="3" t="s">
        <v>11</v>
      </c>
      <c r="B16">
        <v>1</v>
      </c>
      <c r="C16">
        <v>0.9999999999163689</v>
      </c>
      <c r="D16">
        <v>5.2018345416308912E-2</v>
      </c>
      <c r="E16">
        <v>5.2018345411958558E-2</v>
      </c>
      <c r="F16">
        <v>0.97017408795567339</v>
      </c>
      <c r="G16">
        <v>0.97017408786068571</v>
      </c>
      <c r="H16">
        <v>6</v>
      </c>
      <c r="I16">
        <v>1.2891635830462337E-15</v>
      </c>
      <c r="N16" s="20"/>
    </row>
    <row r="17" spans="1:41">
      <c r="A17" s="3" t="s">
        <v>12</v>
      </c>
      <c r="C17">
        <v>0.99999999992717992</v>
      </c>
      <c r="D17">
        <v>2.0361020144278416E-2</v>
      </c>
      <c r="E17">
        <v>2.0361020142795724E-2</v>
      </c>
    </row>
    <row r="18" spans="1:41">
      <c r="A18" s="3" t="s">
        <v>13</v>
      </c>
      <c r="C18">
        <v>0.99999999993844846</v>
      </c>
      <c r="D18">
        <v>2.3871159913333957E-2</v>
      </c>
      <c r="E18">
        <v>2.3871159911864649E-2</v>
      </c>
    </row>
    <row r="19" spans="1:41">
      <c r="A19" s="3" t="s">
        <v>14</v>
      </c>
      <c r="C19">
        <v>0.99999999994783928</v>
      </c>
      <c r="D19">
        <v>2.1785814431954319E-3</v>
      </c>
      <c r="E19">
        <v>2.1785814430817954E-3</v>
      </c>
    </row>
    <row r="20" spans="1:41">
      <c r="A20" s="3" t="s">
        <v>15</v>
      </c>
      <c r="C20">
        <v>0.99999999994941202</v>
      </c>
      <c r="D20">
        <v>2.7557297893198349E-3</v>
      </c>
      <c r="E20">
        <v>2.7557297891804282E-3</v>
      </c>
    </row>
    <row r="21" spans="1:41">
      <c r="A21" s="3" t="s">
        <v>17</v>
      </c>
      <c r="C21">
        <v>0.9999999999600927</v>
      </c>
      <c r="D21">
        <v>1.4871232911666729E-3</v>
      </c>
      <c r="E21">
        <v>1.4871232911073259E-3</v>
      </c>
    </row>
    <row r="22" spans="1:41">
      <c r="A22" s="3" t="s">
        <v>223</v>
      </c>
      <c r="C22">
        <v>0.99999999996434741</v>
      </c>
      <c r="D22">
        <v>2.0642193831620003E-3</v>
      </c>
      <c r="E22">
        <v>2.0642193830884056E-3</v>
      </c>
    </row>
    <row r="23" spans="1:41">
      <c r="A23" s="3" t="s">
        <v>18</v>
      </c>
      <c r="C23">
        <v>0.99999999997611977</v>
      </c>
      <c r="D23">
        <v>6.4636760762646654E-3</v>
      </c>
      <c r="E23">
        <v>6.4636760761103114E-3</v>
      </c>
      <c r="AJ23" t="s">
        <v>283</v>
      </c>
    </row>
    <row r="24" spans="1:41">
      <c r="A24" s="3" t="s">
        <v>183</v>
      </c>
      <c r="C24">
        <v>1.0000000000089209</v>
      </c>
      <c r="D24">
        <v>0.88880017024406921</v>
      </c>
      <c r="E24">
        <v>0.88880017025199809</v>
      </c>
    </row>
    <row r="25" spans="1:41">
      <c r="B25">
        <v>0.70579404457783868</v>
      </c>
      <c r="T25" t="s">
        <v>103</v>
      </c>
      <c r="U25" t="s">
        <v>104</v>
      </c>
    </row>
    <row r="26" spans="1:41" ht="15" thickBot="1">
      <c r="T26">
        <v>0.28639228095872948</v>
      </c>
      <c r="U26">
        <v>0.73874841790251067</v>
      </c>
    </row>
    <row r="27" spans="1:41" ht="15" thickBot="1">
      <c r="T27">
        <v>4.7141955321507133E-2</v>
      </c>
      <c r="U27">
        <v>7.1221831978563951E-2</v>
      </c>
      <c r="X27" s="52" t="s">
        <v>111</v>
      </c>
      <c r="Y27" s="53" t="s">
        <v>262</v>
      </c>
      <c r="Z27" s="53" t="s">
        <v>111</v>
      </c>
      <c r="AA27" s="53" t="s">
        <v>262</v>
      </c>
      <c r="AB27" s="52"/>
      <c r="AC27" s="53" t="s">
        <v>111</v>
      </c>
      <c r="AD27" s="54" t="s">
        <v>262</v>
      </c>
      <c r="AI27" s="69" t="s">
        <v>108</v>
      </c>
      <c r="AJ27" s="87" t="s">
        <v>72</v>
      </c>
      <c r="AK27" s="62" t="s">
        <v>108</v>
      </c>
      <c r="AL27" s="70" t="s">
        <v>72</v>
      </c>
      <c r="AM27" s="69"/>
      <c r="AN27" s="87" t="s">
        <v>111</v>
      </c>
      <c r="AO27" s="70" t="s">
        <v>262</v>
      </c>
    </row>
    <row r="28" spans="1:41">
      <c r="T28">
        <v>3.6376977076883081E-2</v>
      </c>
      <c r="U28">
        <v>3.5694070905948033E-2</v>
      </c>
      <c r="X28" s="60">
        <v>300</v>
      </c>
      <c r="Y28" s="61">
        <v>23.9453125</v>
      </c>
      <c r="Z28" s="62">
        <v>300</v>
      </c>
      <c r="AA28" s="63">
        <v>0.22748111108907837</v>
      </c>
      <c r="AB28" s="69" t="s">
        <v>260</v>
      </c>
      <c r="AC28" s="62">
        <v>384</v>
      </c>
      <c r="AD28" s="70">
        <v>28.12005615234375</v>
      </c>
      <c r="AI28" s="64">
        <v>300</v>
      </c>
      <c r="AJ28" s="85">
        <v>19.62890625</v>
      </c>
      <c r="AK28" s="55">
        <v>300</v>
      </c>
      <c r="AL28" s="88">
        <v>0.24244678740246262</v>
      </c>
      <c r="AM28" s="89" t="s">
        <v>260</v>
      </c>
      <c r="AN28" s="85">
        <v>373</v>
      </c>
      <c r="AO28" s="88">
        <v>22.656005859375</v>
      </c>
    </row>
    <row r="29" spans="1:41" ht="15" thickBot="1">
      <c r="A29" t="s">
        <v>108</v>
      </c>
      <c r="B29" t="s">
        <v>72</v>
      </c>
      <c r="F29" s="10" t="s">
        <v>108</v>
      </c>
      <c r="G29" t="s">
        <v>72</v>
      </c>
      <c r="T29">
        <v>2.4150060533875709E-2</v>
      </c>
      <c r="U29">
        <v>1.8075108750141379E-2</v>
      </c>
      <c r="X29" s="64">
        <v>305</v>
      </c>
      <c r="Y29" s="56">
        <v>24.453125</v>
      </c>
      <c r="Z29" s="55">
        <v>305</v>
      </c>
      <c r="AA29" s="65">
        <v>0.23727681951608176</v>
      </c>
      <c r="AB29" s="71" t="s">
        <v>261</v>
      </c>
      <c r="AC29" s="58">
        <v>538</v>
      </c>
      <c r="AD29" s="59">
        <v>10.177734375</v>
      </c>
      <c r="AI29" s="64">
        <v>305</v>
      </c>
      <c r="AJ29" s="85">
        <v>20.05859375</v>
      </c>
      <c r="AK29" s="55">
        <v>305</v>
      </c>
      <c r="AL29" s="88">
        <v>0.25255668454263303</v>
      </c>
      <c r="AM29" s="71" t="s">
        <v>261</v>
      </c>
      <c r="AN29" s="90">
        <v>528</v>
      </c>
      <c r="AO29" s="59">
        <v>9.0966796875</v>
      </c>
    </row>
    <row r="30" spans="1:41">
      <c r="A30" s="10">
        <v>300</v>
      </c>
      <c r="B30">
        <v>19.62890625</v>
      </c>
      <c r="F30" s="10">
        <v>300</v>
      </c>
      <c r="G30">
        <v>0.24244678740246262</v>
      </c>
      <c r="T30">
        <v>1.4959034427175199E-2</v>
      </c>
      <c r="U30">
        <v>1.0465762518040617E-2</v>
      </c>
      <c r="X30" s="64">
        <v>310</v>
      </c>
      <c r="Y30" s="56">
        <v>24.921875</v>
      </c>
      <c r="Z30" s="55">
        <v>310</v>
      </c>
      <c r="AA30" s="65">
        <v>0.24744676678476069</v>
      </c>
      <c r="AB30" s="57"/>
      <c r="AC30" s="57"/>
      <c r="AD30" s="57"/>
      <c r="AI30" s="64">
        <v>310</v>
      </c>
      <c r="AJ30" s="85">
        <v>20.44921875</v>
      </c>
      <c r="AK30" s="55">
        <v>310</v>
      </c>
      <c r="AL30" s="88">
        <v>0.26304880573738187</v>
      </c>
      <c r="AM30" s="83"/>
      <c r="AN30" s="83"/>
      <c r="AO30" s="83"/>
    </row>
    <row r="31" spans="1:41">
      <c r="A31" s="10">
        <v>305</v>
      </c>
      <c r="B31">
        <v>20.05859375</v>
      </c>
      <c r="F31" s="10">
        <v>305</v>
      </c>
      <c r="G31">
        <v>0.25255668454263303</v>
      </c>
      <c r="T31">
        <v>4.9485381742054413E-2</v>
      </c>
      <c r="U31">
        <v>2.8073718799426453E-2</v>
      </c>
      <c r="X31" s="64">
        <v>315</v>
      </c>
      <c r="Y31" s="56">
        <v>25.361328125</v>
      </c>
      <c r="Z31" s="55">
        <v>315</v>
      </c>
      <c r="AA31" s="65">
        <v>0.25799889564884793</v>
      </c>
      <c r="AB31" s="57"/>
      <c r="AC31" s="57"/>
      <c r="AD31" s="57"/>
      <c r="AI31" s="64">
        <v>315</v>
      </c>
      <c r="AJ31" s="85">
        <v>20.80078125</v>
      </c>
      <c r="AK31" s="55">
        <v>315</v>
      </c>
      <c r="AL31" s="88">
        <v>0.27393066162275892</v>
      </c>
      <c r="AM31" s="83"/>
      <c r="AN31" s="83"/>
      <c r="AO31" s="83"/>
    </row>
    <row r="32" spans="1:41">
      <c r="A32" s="10">
        <v>310</v>
      </c>
      <c r="B32">
        <v>20.44921875</v>
      </c>
      <c r="F32" s="10">
        <v>310</v>
      </c>
      <c r="G32">
        <v>0.26304880573738187</v>
      </c>
      <c r="T32">
        <v>3.1005825304306887E-3</v>
      </c>
      <c r="U32">
        <v>1.3662768620773373E-3</v>
      </c>
      <c r="X32" s="64">
        <v>320</v>
      </c>
      <c r="Y32" s="56">
        <v>25.76171875</v>
      </c>
      <c r="Z32" s="55">
        <v>320</v>
      </c>
      <c r="AA32" s="65">
        <v>0.26894185306370055</v>
      </c>
      <c r="AB32" s="57"/>
      <c r="AC32" s="57"/>
      <c r="AD32" s="57"/>
      <c r="AI32" s="64">
        <v>320</v>
      </c>
      <c r="AJ32" s="85">
        <v>21.123046875</v>
      </c>
      <c r="AK32" s="55">
        <v>320</v>
      </c>
      <c r="AL32" s="88">
        <v>0.285210507511371</v>
      </c>
      <c r="AM32" s="83"/>
      <c r="AN32" s="83"/>
      <c r="AO32" s="83"/>
    </row>
    <row r="33" spans="1:41">
      <c r="A33" s="10">
        <v>315</v>
      </c>
      <c r="B33">
        <v>20.80078125</v>
      </c>
      <c r="F33" s="10">
        <v>315</v>
      </c>
      <c r="G33">
        <v>0.27393066162275892</v>
      </c>
      <c r="T33">
        <v>8.8491418872859526E-3</v>
      </c>
      <c r="U33">
        <v>3.3368999037424896E-3</v>
      </c>
      <c r="X33" s="64">
        <v>325</v>
      </c>
      <c r="Y33" s="56">
        <v>26.1328125</v>
      </c>
      <c r="Z33" s="55">
        <v>325</v>
      </c>
      <c r="AA33" s="65">
        <v>0.28028494182686714</v>
      </c>
      <c r="AB33" s="57"/>
      <c r="AC33" s="57"/>
      <c r="AD33" s="57"/>
      <c r="AI33" s="64">
        <v>325</v>
      </c>
      <c r="AJ33" s="85">
        <v>21.40625</v>
      </c>
      <c r="AK33" s="55">
        <v>325</v>
      </c>
      <c r="AL33" s="88">
        <v>0.29689729048018987</v>
      </c>
      <c r="AM33" s="83"/>
      <c r="AN33" s="83"/>
      <c r="AO33" s="83"/>
    </row>
    <row r="34" spans="1:41">
      <c r="A34" s="10">
        <v>320</v>
      </c>
      <c r="B34">
        <v>21.123046875</v>
      </c>
      <c r="F34" s="10">
        <v>320</v>
      </c>
      <c r="G34">
        <v>0.285210507511371</v>
      </c>
      <c r="T34">
        <v>0.2156959798728417</v>
      </c>
      <c r="U34">
        <v>0.89600316974722471</v>
      </c>
      <c r="X34" s="64">
        <v>330</v>
      </c>
      <c r="Y34" s="56">
        <v>26.46484375</v>
      </c>
      <c r="Z34" s="55">
        <v>330</v>
      </c>
      <c r="AA34" s="65">
        <v>0.29203807459589159</v>
      </c>
      <c r="AB34" s="57"/>
      <c r="AC34" s="57"/>
      <c r="AD34" s="57"/>
      <c r="AI34" s="64">
        <v>330</v>
      </c>
      <c r="AJ34" s="85">
        <v>21.66015625</v>
      </c>
      <c r="AK34" s="55">
        <v>330</v>
      </c>
      <c r="AL34" s="88">
        <v>0.30900059815931713</v>
      </c>
      <c r="AM34" s="83"/>
      <c r="AN34" s="83"/>
      <c r="AO34" s="83"/>
    </row>
    <row r="35" spans="1:41">
      <c r="A35" s="10">
        <v>325</v>
      </c>
      <c r="B35">
        <v>21.40625</v>
      </c>
      <c r="F35" s="10">
        <v>325</v>
      </c>
      <c r="G35">
        <v>0.29689729048018987</v>
      </c>
      <c r="T35">
        <v>0.47045541447794165</v>
      </c>
      <c r="U35">
        <v>0.90698208762045096</v>
      </c>
      <c r="X35" s="64">
        <v>335</v>
      </c>
      <c r="Y35" s="56">
        <v>26.767578125</v>
      </c>
      <c r="Z35" s="55">
        <v>335</v>
      </c>
      <c r="AA35" s="65">
        <v>0.30421173195989293</v>
      </c>
      <c r="AB35" s="57"/>
      <c r="AC35" s="57"/>
      <c r="AD35" s="57"/>
      <c r="AI35" s="64">
        <v>335</v>
      </c>
      <c r="AJ35" s="85">
        <v>21.884765625</v>
      </c>
      <c r="AK35" s="55">
        <v>335</v>
      </c>
      <c r="AL35" s="88">
        <v>0.32153061100260982</v>
      </c>
      <c r="AM35" s="83"/>
      <c r="AN35" s="83"/>
      <c r="AO35" s="83"/>
    </row>
    <row r="36" spans="1:41">
      <c r="A36" s="10">
        <v>330</v>
      </c>
      <c r="B36">
        <v>21.66015625</v>
      </c>
      <c r="F36" s="10">
        <v>330</v>
      </c>
      <c r="G36">
        <v>0.30900059815931713</v>
      </c>
      <c r="X36" s="64">
        <v>340</v>
      </c>
      <c r="Y36" s="56">
        <v>27.03125</v>
      </c>
      <c r="Z36" s="55">
        <v>340</v>
      </c>
      <c r="AA36" s="65">
        <v>0.31681692610352963</v>
      </c>
      <c r="AB36" s="57"/>
      <c r="AC36" s="57"/>
      <c r="AD36" s="57"/>
      <c r="AI36" s="64">
        <v>340</v>
      </c>
      <c r="AJ36" s="85">
        <v>22.080078125</v>
      </c>
      <c r="AK36" s="55">
        <v>340</v>
      </c>
      <c r="AL36" s="88">
        <v>0.33449805967680168</v>
      </c>
      <c r="AM36" s="83"/>
      <c r="AN36" s="83"/>
      <c r="AO36" s="83"/>
    </row>
    <row r="37" spans="1:41">
      <c r="A37" s="10">
        <v>335</v>
      </c>
      <c r="B37">
        <v>21.884765625</v>
      </c>
      <c r="F37" s="10">
        <v>335</v>
      </c>
      <c r="G37">
        <v>0.32153061100260982</v>
      </c>
      <c r="X37" s="64">
        <v>345</v>
      </c>
      <c r="Y37" s="56">
        <v>27.275390625</v>
      </c>
      <c r="Z37" s="55">
        <v>345</v>
      </c>
      <c r="AA37" s="65">
        <v>0.32986517130210913</v>
      </c>
      <c r="AB37" s="57"/>
      <c r="AC37" s="57"/>
      <c r="AD37" s="57"/>
      <c r="AI37" s="64">
        <v>345</v>
      </c>
      <c r="AJ37" s="85">
        <v>22.24609375</v>
      </c>
      <c r="AK37" s="55">
        <v>345</v>
      </c>
      <c r="AL37" s="88">
        <v>0.3479141889433891</v>
      </c>
      <c r="AM37" s="83"/>
      <c r="AN37" s="83"/>
      <c r="AO37" s="83"/>
    </row>
    <row r="38" spans="1:41">
      <c r="A38" s="10">
        <v>340</v>
      </c>
      <c r="B38">
        <v>22.080078125</v>
      </c>
      <c r="F38" s="10">
        <v>340</v>
      </c>
      <c r="G38">
        <v>0.33449805967680168</v>
      </c>
      <c r="X38" s="64">
        <v>350</v>
      </c>
      <c r="Y38" s="56">
        <v>27.48046875</v>
      </c>
      <c r="Z38" s="55">
        <v>350</v>
      </c>
      <c r="AA38" s="65">
        <v>0.34336846204067284</v>
      </c>
      <c r="AB38" s="57"/>
      <c r="AC38" s="57"/>
      <c r="AD38" s="57"/>
      <c r="AI38" s="64">
        <v>350</v>
      </c>
      <c r="AJ38" s="85">
        <v>22.3828125</v>
      </c>
      <c r="AK38" s="55">
        <v>350</v>
      </c>
      <c r="AL38" s="88">
        <v>0.3617907290061354</v>
      </c>
      <c r="AM38" s="83"/>
      <c r="AN38" s="83"/>
      <c r="AO38" s="83"/>
    </row>
    <row r="39" spans="1:41">
      <c r="A39" s="10">
        <v>345</v>
      </c>
      <c r="B39">
        <v>22.24609375</v>
      </c>
      <c r="F39" s="10">
        <v>345</v>
      </c>
      <c r="G39">
        <v>0.3479141889433891</v>
      </c>
      <c r="X39" s="64">
        <v>355</v>
      </c>
      <c r="Y39" s="56">
        <v>27.65625</v>
      </c>
      <c r="Z39" s="55">
        <v>355</v>
      </c>
      <c r="AA39" s="65">
        <v>0.35733925899970709</v>
      </c>
      <c r="AB39" s="57"/>
      <c r="AC39" s="57"/>
      <c r="AD39" s="57"/>
      <c r="AI39" s="64">
        <v>355</v>
      </c>
      <c r="AJ39" s="85">
        <v>22.490234375</v>
      </c>
      <c r="AK39" s="55">
        <v>355</v>
      </c>
      <c r="AL39" s="88">
        <v>0.37613987478300981</v>
      </c>
      <c r="AM39" s="83"/>
      <c r="AN39" s="83"/>
      <c r="AO39" s="83"/>
    </row>
    <row r="40" spans="1:41">
      <c r="A40" s="10">
        <v>350</v>
      </c>
      <c r="B40">
        <v>22.3828125</v>
      </c>
      <c r="F40" s="10">
        <v>350</v>
      </c>
      <c r="G40">
        <v>0.3617907290061354</v>
      </c>
      <c r="X40" s="64">
        <v>360</v>
      </c>
      <c r="Y40" s="56">
        <v>27.802734375</v>
      </c>
      <c r="Z40" s="55">
        <v>360</v>
      </c>
      <c r="AA40" s="65">
        <v>0.37179048251344293</v>
      </c>
      <c r="AB40" s="57"/>
      <c r="AC40" s="57"/>
      <c r="AD40" s="57"/>
      <c r="AI40" s="64">
        <v>360</v>
      </c>
      <c r="AJ40" s="85">
        <v>22.568359375</v>
      </c>
      <c r="AK40" s="55">
        <v>360</v>
      </c>
      <c r="AL40" s="88">
        <v>0.39097427295773157</v>
      </c>
      <c r="AM40" s="83"/>
      <c r="AN40" s="83"/>
      <c r="AO40" s="83"/>
    </row>
    <row r="41" spans="1:41">
      <c r="A41" s="10">
        <v>355</v>
      </c>
      <c r="B41">
        <v>22.490234375</v>
      </c>
      <c r="F41" s="10">
        <v>355</v>
      </c>
      <c r="G41">
        <v>0.37613987478300981</v>
      </c>
      <c r="X41" s="64">
        <v>365</v>
      </c>
      <c r="Y41" s="56">
        <v>27.9296875</v>
      </c>
      <c r="Z41" s="55">
        <v>365</v>
      </c>
      <c r="AA41" s="65">
        <v>0.38672598591677165</v>
      </c>
      <c r="AB41" s="57"/>
      <c r="AC41" s="57"/>
      <c r="AD41" s="57"/>
      <c r="AI41" s="64">
        <v>365</v>
      </c>
      <c r="AJ41" s="85">
        <v>22.6171875</v>
      </c>
      <c r="AK41" s="55">
        <v>365</v>
      </c>
      <c r="AL41" s="88">
        <v>0.40630701594683893</v>
      </c>
      <c r="AM41" s="83"/>
      <c r="AN41" s="83"/>
      <c r="AO41" s="83"/>
    </row>
    <row r="42" spans="1:41">
      <c r="A42" s="10">
        <v>360</v>
      </c>
      <c r="B42">
        <v>22.568359375</v>
      </c>
      <c r="F42" s="10">
        <v>360</v>
      </c>
      <c r="G42">
        <v>0.39097427295773157</v>
      </c>
      <c r="X42" s="64">
        <v>370</v>
      </c>
      <c r="Y42" s="56">
        <v>28.017578125</v>
      </c>
      <c r="Z42" s="55">
        <v>370</v>
      </c>
      <c r="AA42" s="65">
        <v>0.40218517859997294</v>
      </c>
      <c r="AB42" s="57"/>
      <c r="AC42" s="57"/>
      <c r="AD42" s="57"/>
      <c r="AI42" s="64">
        <v>370</v>
      </c>
      <c r="AJ42" s="85">
        <v>22.646484375</v>
      </c>
      <c r="AK42" s="55">
        <v>370</v>
      </c>
      <c r="AL42" s="88">
        <v>0.42215126035537331</v>
      </c>
      <c r="AM42" s="83"/>
      <c r="AN42" s="83"/>
      <c r="AO42" s="83"/>
    </row>
    <row r="43" spans="1:41">
      <c r="A43" s="10">
        <v>365</v>
      </c>
      <c r="B43">
        <v>22.6171875</v>
      </c>
      <c r="F43" s="10">
        <v>365</v>
      </c>
      <c r="G43">
        <v>0.40630701594683893</v>
      </c>
      <c r="X43" s="64">
        <v>375</v>
      </c>
      <c r="Y43" s="56">
        <v>28.076171875</v>
      </c>
      <c r="Z43" s="55">
        <v>375</v>
      </c>
      <c r="AA43" s="65">
        <v>0.41816283037402047</v>
      </c>
      <c r="AB43" s="57"/>
      <c r="AC43" s="57"/>
      <c r="AD43" s="57"/>
      <c r="AI43" s="64">
        <v>375</v>
      </c>
      <c r="AJ43" s="85">
        <v>22.6513671875</v>
      </c>
      <c r="AK43" s="55">
        <v>375</v>
      </c>
      <c r="AL43" s="88">
        <v>0.43852213101270587</v>
      </c>
      <c r="AM43" s="83"/>
      <c r="AN43" s="83"/>
      <c r="AO43" s="83"/>
    </row>
    <row r="44" spans="1:41">
      <c r="A44" s="10">
        <v>370</v>
      </c>
      <c r="B44">
        <v>22.646484375</v>
      </c>
      <c r="F44" s="10">
        <v>370</v>
      </c>
      <c r="G44">
        <v>0.42215126035537331</v>
      </c>
      <c r="X44" s="64">
        <v>380</v>
      </c>
      <c r="Y44" s="56">
        <v>28.1103515625</v>
      </c>
      <c r="Z44" s="55">
        <v>380</v>
      </c>
      <c r="AA44" s="65">
        <v>0.43467420463107731</v>
      </c>
      <c r="AB44" s="57"/>
      <c r="AC44" s="57"/>
      <c r="AD44" s="57"/>
      <c r="AI44" s="64">
        <v>380</v>
      </c>
      <c r="AJ44" s="85">
        <v>22.6318359375</v>
      </c>
      <c r="AK44" s="55">
        <v>380</v>
      </c>
      <c r="AL44" s="88">
        <v>0.45543291218165727</v>
      </c>
      <c r="AM44" s="83"/>
      <c r="AN44" s="83"/>
      <c r="AO44" s="83"/>
    </row>
    <row r="45" spans="1:41">
      <c r="A45" s="10">
        <v>375</v>
      </c>
      <c r="B45">
        <v>22.6513671875</v>
      </c>
      <c r="F45" s="10">
        <v>375</v>
      </c>
      <c r="G45">
        <v>0.43852213101270587</v>
      </c>
      <c r="X45" s="64">
        <v>385</v>
      </c>
      <c r="Y45" s="56">
        <v>28.115234375</v>
      </c>
      <c r="Z45" s="55">
        <v>385</v>
      </c>
      <c r="AA45" s="65">
        <v>0.45173753600240618</v>
      </c>
      <c r="AB45" s="57"/>
      <c r="AC45" s="57"/>
      <c r="AD45" s="57"/>
      <c r="AI45" s="64">
        <v>385</v>
      </c>
      <c r="AJ45" s="85">
        <v>22.5830078125</v>
      </c>
      <c r="AK45" s="55">
        <v>385</v>
      </c>
      <c r="AL45" s="88">
        <v>0.47289883831266255</v>
      </c>
      <c r="AM45" s="83"/>
      <c r="AN45" s="83"/>
      <c r="AO45" s="83"/>
    </row>
    <row r="46" spans="1:41">
      <c r="A46" s="10">
        <v>380</v>
      </c>
      <c r="B46">
        <v>22.6318359375</v>
      </c>
      <c r="F46" s="10">
        <v>380</v>
      </c>
      <c r="G46">
        <v>0.45543291218165727</v>
      </c>
      <c r="X46" s="64">
        <v>390</v>
      </c>
      <c r="Y46" s="56">
        <v>28.095703125</v>
      </c>
      <c r="Z46" s="55">
        <v>390</v>
      </c>
      <c r="AA46" s="65">
        <v>0.46936843839040332</v>
      </c>
      <c r="AB46" s="57"/>
      <c r="AC46" s="57"/>
      <c r="AD46" s="57"/>
      <c r="AI46" s="64">
        <v>390</v>
      </c>
      <c r="AJ46" s="85">
        <v>22.5146484375</v>
      </c>
      <c r="AK46" s="55">
        <v>395</v>
      </c>
      <c r="AL46" s="88">
        <v>0.50955736667290896</v>
      </c>
      <c r="AM46" s="83"/>
      <c r="AN46" s="83"/>
      <c r="AO46" s="83"/>
    </row>
    <row r="47" spans="1:41">
      <c r="A47" s="10">
        <v>385</v>
      </c>
      <c r="B47">
        <v>22.5830078125</v>
      </c>
      <c r="F47" s="10">
        <v>385</v>
      </c>
      <c r="G47">
        <v>0.47289883831266255</v>
      </c>
      <c r="X47" s="64">
        <v>395</v>
      </c>
      <c r="Y47" s="56">
        <v>28.046875</v>
      </c>
      <c r="Z47" s="55">
        <v>395</v>
      </c>
      <c r="AA47" s="65">
        <v>0.48758280047209623</v>
      </c>
      <c r="AB47" s="57"/>
      <c r="AC47" s="57"/>
      <c r="AD47" s="57"/>
      <c r="AI47" s="64">
        <v>400</v>
      </c>
      <c r="AJ47" s="85">
        <v>22.314453125</v>
      </c>
      <c r="AK47" s="55">
        <v>400</v>
      </c>
      <c r="AL47" s="88">
        <v>0.52878112273897337</v>
      </c>
      <c r="AM47" s="83"/>
      <c r="AN47" s="83"/>
      <c r="AO47" s="83"/>
    </row>
    <row r="48" spans="1:41">
      <c r="A48" s="10">
        <v>390</v>
      </c>
      <c r="B48">
        <v>22.5146484375</v>
      </c>
      <c r="F48" s="10">
        <v>395</v>
      </c>
      <c r="G48">
        <v>0.50955736667290896</v>
      </c>
      <c r="X48" s="64">
        <v>400</v>
      </c>
      <c r="Y48" s="56">
        <v>27.96875</v>
      </c>
      <c r="Z48" s="55">
        <v>400</v>
      </c>
      <c r="AA48" s="65">
        <v>0.50639655972718134</v>
      </c>
      <c r="AB48" s="57"/>
      <c r="AC48" s="57"/>
      <c r="AD48" s="57"/>
      <c r="AI48" s="64">
        <v>405</v>
      </c>
      <c r="AJ48" s="85">
        <v>22.177734375</v>
      </c>
      <c r="AK48" s="55">
        <v>405</v>
      </c>
      <c r="AL48" s="88">
        <v>0.54862180355145829</v>
      </c>
      <c r="AM48" s="83"/>
      <c r="AN48" s="83"/>
      <c r="AO48" s="83"/>
    </row>
    <row r="49" spans="1:41">
      <c r="A49" s="10">
        <v>395</v>
      </c>
      <c r="B49">
        <v>22.4267578125</v>
      </c>
      <c r="F49" s="10">
        <v>400</v>
      </c>
      <c r="G49">
        <v>0.52878112273897337</v>
      </c>
      <c r="X49" s="64">
        <v>405</v>
      </c>
      <c r="Y49" s="56">
        <v>27.8662109375</v>
      </c>
      <c r="Z49" s="55">
        <v>405</v>
      </c>
      <c r="AA49" s="65">
        <v>0.52582529873885098</v>
      </c>
      <c r="AB49" s="57"/>
      <c r="AC49" s="57"/>
      <c r="AD49" s="57"/>
      <c r="AI49" s="64">
        <v>410</v>
      </c>
      <c r="AJ49" s="85">
        <v>22.02392578125</v>
      </c>
      <c r="AK49" s="55">
        <v>410</v>
      </c>
      <c r="AL49" s="88">
        <v>0.56911413306867664</v>
      </c>
      <c r="AM49" s="83"/>
      <c r="AN49" s="83"/>
      <c r="AO49" s="83"/>
    </row>
    <row r="50" spans="1:41">
      <c r="A50" s="10">
        <v>400</v>
      </c>
      <c r="B50">
        <v>22.314453125</v>
      </c>
      <c r="F50" s="10">
        <v>405</v>
      </c>
      <c r="G50">
        <v>0.54862180355145829</v>
      </c>
      <c r="X50" s="64">
        <v>410</v>
      </c>
      <c r="Y50" s="56">
        <v>27.734375</v>
      </c>
      <c r="Z50" s="55">
        <v>410</v>
      </c>
      <c r="AA50" s="65">
        <v>0.54591002874628058</v>
      </c>
      <c r="AB50" s="57"/>
      <c r="AC50" s="57"/>
      <c r="AD50" s="57"/>
      <c r="AI50" s="64">
        <v>415</v>
      </c>
      <c r="AJ50" s="85">
        <v>21.845703125</v>
      </c>
      <c r="AK50" s="55">
        <v>415</v>
      </c>
      <c r="AL50" s="88">
        <v>0.59025323742387337</v>
      </c>
      <c r="AM50" s="83"/>
      <c r="AN50" s="83"/>
      <c r="AO50" s="83"/>
    </row>
    <row r="51" spans="1:41">
      <c r="A51" s="10">
        <v>405</v>
      </c>
      <c r="B51">
        <v>22.177734375</v>
      </c>
      <c r="F51" s="10">
        <v>410</v>
      </c>
      <c r="G51">
        <v>0.56911413306867664</v>
      </c>
      <c r="X51" s="64">
        <v>415</v>
      </c>
      <c r="Y51" s="56">
        <v>27.578125</v>
      </c>
      <c r="Z51" s="55">
        <v>415</v>
      </c>
      <c r="AA51" s="65">
        <v>0.5666386307298803</v>
      </c>
      <c r="AB51" s="57"/>
      <c r="AC51" s="57"/>
      <c r="AD51" s="57"/>
      <c r="AI51" s="64">
        <v>420</v>
      </c>
      <c r="AJ51" s="85">
        <v>21.650390625</v>
      </c>
      <c r="AK51" s="55">
        <v>420</v>
      </c>
      <c r="AL51" s="88">
        <v>0.61206678057589925</v>
      </c>
      <c r="AM51" s="83"/>
      <c r="AN51" s="83"/>
      <c r="AO51" s="83"/>
    </row>
    <row r="52" spans="1:41">
      <c r="A52" s="10">
        <v>410</v>
      </c>
      <c r="B52">
        <v>22.02392578125</v>
      </c>
      <c r="F52" s="10">
        <v>415</v>
      </c>
      <c r="G52">
        <v>0.59025323742387337</v>
      </c>
      <c r="X52" s="64">
        <v>420</v>
      </c>
      <c r="Y52" s="56">
        <v>27.39501953125</v>
      </c>
      <c r="Z52" s="55">
        <v>420</v>
      </c>
      <c r="AA52" s="65">
        <v>0.58804267837759894</v>
      </c>
      <c r="AB52" s="57"/>
      <c r="AC52" s="57"/>
      <c r="AD52" s="57"/>
      <c r="AI52" s="64">
        <v>425</v>
      </c>
      <c r="AJ52" s="85">
        <v>21.43310546875</v>
      </c>
      <c r="AK52" s="55">
        <v>425</v>
      </c>
      <c r="AL52" s="88">
        <v>0.63457421028989613</v>
      </c>
      <c r="AM52" s="83"/>
      <c r="AN52" s="83"/>
      <c r="AO52" s="83"/>
    </row>
    <row r="53" spans="1:41">
      <c r="A53" s="10">
        <v>415</v>
      </c>
      <c r="B53">
        <v>21.845703125</v>
      </c>
      <c r="F53" s="10">
        <v>420</v>
      </c>
      <c r="G53">
        <v>0.61206678057589925</v>
      </c>
      <c r="X53" s="64">
        <v>425</v>
      </c>
      <c r="Y53" s="56">
        <v>27.18505859375</v>
      </c>
      <c r="Z53" s="55">
        <v>425</v>
      </c>
      <c r="AA53" s="65">
        <v>0.61014246044945497</v>
      </c>
      <c r="AB53" s="57"/>
      <c r="AC53" s="57"/>
      <c r="AD53" s="57"/>
      <c r="AI53" s="64">
        <v>430</v>
      </c>
      <c r="AJ53" s="85">
        <v>21.19384765625</v>
      </c>
      <c r="AK53" s="55">
        <v>430</v>
      </c>
      <c r="AL53" s="88">
        <v>0.65779565283447639</v>
      </c>
      <c r="AM53" s="83"/>
      <c r="AN53" s="83"/>
      <c r="AO53" s="83"/>
    </row>
    <row r="54" spans="1:41">
      <c r="A54" s="10">
        <v>420</v>
      </c>
      <c r="B54">
        <v>21.650390625</v>
      </c>
      <c r="F54" s="10">
        <v>425</v>
      </c>
      <c r="G54">
        <v>0.63457421028989613</v>
      </c>
      <c r="X54" s="64">
        <v>430</v>
      </c>
      <c r="Y54" s="56">
        <v>26.9482421875</v>
      </c>
      <c r="Z54" s="55">
        <v>430</v>
      </c>
      <c r="AA54" s="65">
        <v>0.63295901685900646</v>
      </c>
      <c r="AB54" s="57"/>
      <c r="AC54" s="57"/>
      <c r="AD54" s="57"/>
      <c r="AI54" s="64">
        <v>435</v>
      </c>
      <c r="AJ54" s="85">
        <v>21.258640289306641</v>
      </c>
      <c r="AK54" s="55">
        <v>435</v>
      </c>
      <c r="AL54" s="88">
        <v>0.68175192706402621</v>
      </c>
      <c r="AM54" s="83"/>
      <c r="AN54" s="83"/>
      <c r="AO54" s="83"/>
    </row>
    <row r="55" spans="1:41">
      <c r="A55" s="10">
        <v>425</v>
      </c>
      <c r="B55">
        <v>21.43310546875</v>
      </c>
      <c r="F55" s="10">
        <v>430</v>
      </c>
      <c r="G55">
        <v>0.65779565283447639</v>
      </c>
      <c r="X55" s="64">
        <v>435</v>
      </c>
      <c r="Y55" s="56">
        <v>26.68701171875</v>
      </c>
      <c r="Z55" s="55">
        <v>435</v>
      </c>
      <c r="AA55" s="65">
        <v>0.65651415123774948</v>
      </c>
      <c r="AB55" s="57"/>
      <c r="AC55" s="57"/>
      <c r="AD55" s="57"/>
      <c r="AI55" s="64">
        <v>440</v>
      </c>
      <c r="AJ55" s="85">
        <v>20.981807708740234</v>
      </c>
      <c r="AK55" s="55">
        <v>440</v>
      </c>
      <c r="AL55" s="88">
        <v>0.70646453551361743</v>
      </c>
      <c r="AM55" s="83"/>
      <c r="AN55" s="83"/>
      <c r="AO55" s="83"/>
    </row>
    <row r="56" spans="1:41">
      <c r="A56" s="10">
        <v>430</v>
      </c>
      <c r="B56">
        <v>21.19384765625</v>
      </c>
      <c r="F56" s="10">
        <v>435</v>
      </c>
      <c r="G56">
        <v>0.68175192706402621</v>
      </c>
      <c r="X56" s="64">
        <v>440</v>
      </c>
      <c r="Y56" s="56">
        <v>26.397705078125</v>
      </c>
      <c r="Z56" s="55">
        <v>440</v>
      </c>
      <c r="AA56" s="65">
        <v>0.68083041218576779</v>
      </c>
      <c r="AB56" s="57"/>
      <c r="AC56" s="57"/>
      <c r="AD56" s="57"/>
      <c r="AI56" s="64">
        <v>445</v>
      </c>
      <c r="AJ56" s="85">
        <v>20.360107421875</v>
      </c>
      <c r="AK56" s="55">
        <v>445</v>
      </c>
      <c r="AL56" s="88">
        <v>0.73195560383827796</v>
      </c>
      <c r="AM56" s="83"/>
      <c r="AN56" s="83"/>
      <c r="AO56" s="83"/>
    </row>
    <row r="57" spans="1:41">
      <c r="A57" s="10">
        <v>435</v>
      </c>
      <c r="B57">
        <v>21.258640289306641</v>
      </c>
      <c r="F57" s="10">
        <v>440</v>
      </c>
      <c r="G57">
        <v>0.70646453551361743</v>
      </c>
      <c r="X57" s="64">
        <v>445</v>
      </c>
      <c r="Y57" s="56">
        <v>26.082763671875</v>
      </c>
      <c r="Z57" s="55">
        <v>445</v>
      </c>
      <c r="AA57" s="65">
        <v>0.70593100651330887</v>
      </c>
      <c r="AB57" s="57"/>
      <c r="AC57" s="57"/>
      <c r="AD57" s="57"/>
      <c r="AI57" s="64">
        <v>450</v>
      </c>
      <c r="AJ57" s="85">
        <v>20.39154052734375</v>
      </c>
      <c r="AK57" s="55">
        <v>450</v>
      </c>
      <c r="AL57" s="88">
        <v>0.75824771452040363</v>
      </c>
      <c r="AM57" s="83"/>
      <c r="AN57" s="83"/>
      <c r="AO57" s="83"/>
    </row>
    <row r="58" spans="1:41">
      <c r="A58" s="10">
        <v>440</v>
      </c>
      <c r="B58">
        <v>20.981807708740234</v>
      </c>
      <c r="F58" s="10">
        <v>445</v>
      </c>
      <c r="G58">
        <v>0.73195560383827796</v>
      </c>
      <c r="X58" s="64">
        <v>450</v>
      </c>
      <c r="Y58" s="56">
        <v>25.74462890625</v>
      </c>
      <c r="Z58" s="55">
        <v>450</v>
      </c>
      <c r="AA58" s="65">
        <v>0.73183957833308155</v>
      </c>
      <c r="AB58" s="57"/>
      <c r="AC58" s="57"/>
      <c r="AD58" s="57"/>
      <c r="AI58" s="64">
        <v>455</v>
      </c>
      <c r="AJ58" s="85">
        <v>20.070724487304687</v>
      </c>
      <c r="AK58" s="55">
        <v>455</v>
      </c>
      <c r="AL58" s="88">
        <v>0.78536354423959054</v>
      </c>
      <c r="AM58" s="83"/>
      <c r="AN58" s="83"/>
      <c r="AO58" s="83"/>
    </row>
    <row r="59" spans="1:41">
      <c r="A59" s="10">
        <v>445</v>
      </c>
      <c r="B59">
        <v>20.360107421875</v>
      </c>
      <c r="F59" s="10">
        <v>450</v>
      </c>
      <c r="G59">
        <v>0.75824771452040363</v>
      </c>
      <c r="X59" s="64">
        <v>455</v>
      </c>
      <c r="Y59" s="56">
        <v>25.386962890625</v>
      </c>
      <c r="Z59" s="55">
        <v>455</v>
      </c>
      <c r="AA59" s="65">
        <v>0.75857975027748425</v>
      </c>
      <c r="AB59" s="57"/>
      <c r="AC59" s="57"/>
      <c r="AD59" s="57"/>
      <c r="AI59" s="64">
        <v>460</v>
      </c>
      <c r="AJ59" s="85">
        <v>19.725837707519531</v>
      </c>
      <c r="AK59" s="55">
        <v>460</v>
      </c>
      <c r="AL59" s="88">
        <v>0.888671875</v>
      </c>
      <c r="AM59" s="83"/>
      <c r="AN59" s="83"/>
      <c r="AO59" s="83"/>
    </row>
    <row r="60" spans="1:41">
      <c r="A60" s="10">
        <v>450</v>
      </c>
      <c r="B60">
        <v>20.39154052734375</v>
      </c>
      <c r="F60" s="10">
        <v>455</v>
      </c>
      <c r="G60">
        <v>0.78536354423959054</v>
      </c>
      <c r="I60">
        <v>372</v>
      </c>
      <c r="J60">
        <v>22.65545654296875</v>
      </c>
      <c r="X60" s="64">
        <v>460</v>
      </c>
      <c r="Y60" s="56">
        <v>25.43365478515625</v>
      </c>
      <c r="Z60" s="55">
        <v>460</v>
      </c>
      <c r="AA60" s="65">
        <v>0.78619725394400519</v>
      </c>
      <c r="AB60" s="57"/>
      <c r="AC60" s="57"/>
      <c r="AD60" s="57"/>
      <c r="AI60" s="64">
        <v>465</v>
      </c>
      <c r="AJ60" s="85">
        <v>19.05487060546875</v>
      </c>
      <c r="AK60" s="55">
        <v>465</v>
      </c>
      <c r="AL60" s="88">
        <v>1.015625</v>
      </c>
      <c r="AM60" s="83"/>
      <c r="AN60" s="83"/>
      <c r="AO60" s="83"/>
    </row>
    <row r="61" spans="1:41">
      <c r="A61" s="10">
        <v>455</v>
      </c>
      <c r="B61">
        <v>20.070724487304687</v>
      </c>
      <c r="F61" s="10">
        <v>460</v>
      </c>
      <c r="G61">
        <v>0.888671875</v>
      </c>
      <c r="X61" s="64">
        <v>465</v>
      </c>
      <c r="Y61" s="56">
        <v>25.008468627929688</v>
      </c>
      <c r="Z61" s="55">
        <v>465</v>
      </c>
      <c r="AA61" s="65">
        <v>0.859375</v>
      </c>
      <c r="AB61" s="57"/>
      <c r="AC61" s="57"/>
      <c r="AD61" s="57"/>
      <c r="AI61" s="64">
        <v>470</v>
      </c>
      <c r="AJ61" s="85">
        <v>18.939895629882813</v>
      </c>
      <c r="AK61" s="55">
        <v>470</v>
      </c>
      <c r="AL61" s="88">
        <v>1.1572265625</v>
      </c>
      <c r="AM61" s="83"/>
      <c r="AN61" s="83"/>
      <c r="AO61" s="83"/>
    </row>
    <row r="62" spans="1:41">
      <c r="A62" s="10">
        <v>460</v>
      </c>
      <c r="B62">
        <v>19.725837707519531</v>
      </c>
      <c r="F62" s="10">
        <v>465</v>
      </c>
      <c r="G62">
        <v>1.015625</v>
      </c>
      <c r="X62" s="64">
        <v>470</v>
      </c>
      <c r="Y62" s="56">
        <v>24.53857421875</v>
      </c>
      <c r="Z62" s="55">
        <v>470</v>
      </c>
      <c r="AA62" s="65">
        <v>0.986328125</v>
      </c>
      <c r="AB62" s="57"/>
      <c r="AC62" s="57"/>
      <c r="AD62" s="57"/>
      <c r="AI62" s="64">
        <v>475</v>
      </c>
      <c r="AJ62" s="85">
        <v>18.194580078125</v>
      </c>
      <c r="AK62" s="55">
        <v>475</v>
      </c>
      <c r="AL62" s="88">
        <v>1.318359375</v>
      </c>
      <c r="AM62" s="83"/>
      <c r="AN62" s="83"/>
      <c r="AO62" s="83"/>
    </row>
    <row r="63" spans="1:41">
      <c r="A63" s="10">
        <v>465</v>
      </c>
      <c r="B63">
        <v>19.05487060546875</v>
      </c>
      <c r="F63" s="10">
        <v>470</v>
      </c>
      <c r="G63">
        <v>1.1572265625</v>
      </c>
      <c r="X63" s="64">
        <v>475</v>
      </c>
      <c r="Y63" s="56">
        <v>23.72589111328125</v>
      </c>
      <c r="Z63" s="55">
        <v>475</v>
      </c>
      <c r="AA63" s="65">
        <v>1.1279296875</v>
      </c>
      <c r="AB63" s="57"/>
      <c r="AC63" s="57"/>
      <c r="AD63" s="57"/>
      <c r="AI63" s="64">
        <v>480</v>
      </c>
      <c r="AJ63" s="85">
        <v>17.626953125</v>
      </c>
      <c r="AK63" s="55">
        <v>480</v>
      </c>
      <c r="AL63" s="88">
        <v>1.50390625</v>
      </c>
      <c r="AM63" s="83"/>
      <c r="AN63" s="83"/>
      <c r="AO63" s="83"/>
    </row>
    <row r="64" spans="1:41">
      <c r="A64" s="10">
        <v>470</v>
      </c>
      <c r="B64">
        <v>18.939895629882813</v>
      </c>
      <c r="F64" s="10">
        <v>475</v>
      </c>
      <c r="G64">
        <v>1.318359375</v>
      </c>
      <c r="X64" s="64">
        <v>480</v>
      </c>
      <c r="Y64" s="56">
        <v>23.0303955078125</v>
      </c>
      <c r="Z64" s="55">
        <v>480</v>
      </c>
      <c r="AA64" s="65">
        <v>1.2890625</v>
      </c>
      <c r="AB64" s="57"/>
      <c r="AC64" s="57"/>
      <c r="AD64" s="57"/>
      <c r="AI64" s="64">
        <v>485</v>
      </c>
      <c r="AJ64" s="85">
        <v>17.07672119140625</v>
      </c>
      <c r="AK64" s="55">
        <v>485</v>
      </c>
      <c r="AL64" s="88">
        <v>1.708984375</v>
      </c>
      <c r="AM64" s="83"/>
      <c r="AN64" s="83"/>
      <c r="AO64" s="83"/>
    </row>
    <row r="65" spans="1:41">
      <c r="A65" s="10">
        <v>475</v>
      </c>
      <c r="B65">
        <v>18.194580078125</v>
      </c>
      <c r="F65" s="10">
        <v>480</v>
      </c>
      <c r="G65">
        <v>1.50390625</v>
      </c>
      <c r="I65">
        <v>373</v>
      </c>
      <c r="J65">
        <v>22.656005859375</v>
      </c>
      <c r="X65" s="64">
        <v>485</v>
      </c>
      <c r="Y65" s="56">
        <v>22.36114501953125</v>
      </c>
      <c r="Z65" s="55">
        <v>485</v>
      </c>
      <c r="AA65" s="65">
        <v>1.4697265625</v>
      </c>
      <c r="AB65" s="57"/>
      <c r="AC65" s="57"/>
      <c r="AD65" s="57"/>
      <c r="AI65" s="64">
        <v>490</v>
      </c>
      <c r="AJ65" s="85">
        <v>16.5185546875</v>
      </c>
      <c r="AK65" s="55">
        <v>490</v>
      </c>
      <c r="AL65" s="88">
        <v>1.943359375</v>
      </c>
      <c r="AM65" s="83"/>
      <c r="AN65" s="83"/>
      <c r="AO65" s="83"/>
    </row>
    <row r="66" spans="1:41">
      <c r="A66" s="10">
        <v>480</v>
      </c>
      <c r="B66">
        <v>17.626953125</v>
      </c>
      <c r="F66" s="10">
        <v>485</v>
      </c>
      <c r="G66">
        <v>1.708984375</v>
      </c>
      <c r="I66">
        <v>374</v>
      </c>
      <c r="J66">
        <v>22.65545654296875</v>
      </c>
      <c r="X66" s="64">
        <v>490</v>
      </c>
      <c r="Y66" s="56">
        <v>21.688232421875</v>
      </c>
      <c r="Z66" s="55">
        <v>490</v>
      </c>
      <c r="AA66" s="65">
        <v>1.6796875</v>
      </c>
      <c r="AB66" s="57"/>
      <c r="AC66" s="57"/>
      <c r="AD66" s="57"/>
      <c r="AI66" s="64">
        <v>495</v>
      </c>
      <c r="AJ66" s="85">
        <v>15.9344482421875</v>
      </c>
      <c r="AK66" s="55">
        <v>495</v>
      </c>
      <c r="AL66" s="88">
        <v>2.216796875</v>
      </c>
      <c r="AM66" s="83"/>
      <c r="AN66" s="83"/>
      <c r="AO66" s="83"/>
    </row>
    <row r="67" spans="1:41">
      <c r="A67" s="10">
        <v>485</v>
      </c>
      <c r="B67">
        <v>17.07672119140625</v>
      </c>
      <c r="F67" s="10">
        <v>490</v>
      </c>
      <c r="G67">
        <v>1.943359375</v>
      </c>
      <c r="X67" s="64">
        <v>495</v>
      </c>
      <c r="Y67" s="56">
        <v>20.99853515625</v>
      </c>
      <c r="Z67" s="55">
        <v>495</v>
      </c>
      <c r="AA67" s="65">
        <v>1.9140625</v>
      </c>
      <c r="AB67" s="57"/>
      <c r="AC67" s="57"/>
      <c r="AD67" s="57"/>
      <c r="AI67" s="64">
        <v>500</v>
      </c>
      <c r="AJ67" s="85">
        <v>15.3076171875</v>
      </c>
      <c r="AK67" s="55">
        <v>500</v>
      </c>
      <c r="AL67" s="88">
        <v>2.5390625</v>
      </c>
      <c r="AM67" s="83"/>
      <c r="AN67" s="83"/>
      <c r="AO67" s="83"/>
    </row>
    <row r="68" spans="1:41">
      <c r="A68" s="10">
        <v>490</v>
      </c>
      <c r="B68">
        <v>16.5185546875</v>
      </c>
      <c r="F68" s="10">
        <v>495</v>
      </c>
      <c r="G68">
        <v>2.216796875</v>
      </c>
      <c r="X68" s="64">
        <v>500</v>
      </c>
      <c r="Y68" s="56">
        <v>20.2783203125</v>
      </c>
      <c r="Z68" s="55">
        <v>500</v>
      </c>
      <c r="AA68" s="65">
        <v>2.1875</v>
      </c>
      <c r="AB68" s="57"/>
      <c r="AC68" s="57"/>
      <c r="AD68" s="57"/>
      <c r="AI68" s="64">
        <v>505</v>
      </c>
      <c r="AJ68" s="85">
        <v>14.619140625</v>
      </c>
      <c r="AK68" s="55">
        <v>505</v>
      </c>
      <c r="AL68" s="88">
        <v>2.91015625</v>
      </c>
      <c r="AM68" s="83"/>
      <c r="AN68" s="83"/>
      <c r="AO68" s="83"/>
    </row>
    <row r="69" spans="1:41">
      <c r="A69" s="10">
        <v>495</v>
      </c>
      <c r="B69">
        <v>15.9344482421875</v>
      </c>
      <c r="F69" s="10">
        <v>500</v>
      </c>
      <c r="G69">
        <v>2.5390625</v>
      </c>
      <c r="N69" t="s">
        <v>260</v>
      </c>
      <c r="O69">
        <v>384</v>
      </c>
      <c r="P69">
        <v>28.12005615234375</v>
      </c>
      <c r="X69" s="64">
        <v>505</v>
      </c>
      <c r="Y69" s="56">
        <v>19.51171875</v>
      </c>
      <c r="Z69" s="55">
        <v>505</v>
      </c>
      <c r="AA69" s="65">
        <v>2.5</v>
      </c>
      <c r="AB69" s="57"/>
      <c r="AC69" s="57"/>
      <c r="AD69" s="57"/>
      <c r="AI69" s="64">
        <v>510</v>
      </c>
      <c r="AJ69" s="85">
        <v>13.8525390625</v>
      </c>
      <c r="AK69" s="55">
        <v>508</v>
      </c>
      <c r="AL69" s="88">
        <v>3.1640625</v>
      </c>
      <c r="AM69" s="83"/>
      <c r="AN69" s="83"/>
      <c r="AO69" s="83"/>
    </row>
    <row r="70" spans="1:41">
      <c r="A70" s="10">
        <v>500</v>
      </c>
      <c r="B70">
        <v>15.3076171875</v>
      </c>
      <c r="F70" s="10">
        <v>505</v>
      </c>
      <c r="G70">
        <v>2.91015625</v>
      </c>
      <c r="I70">
        <v>528</v>
      </c>
      <c r="J70">
        <v>9.0966796875</v>
      </c>
      <c r="N70" t="s">
        <v>261</v>
      </c>
      <c r="O70" s="10">
        <v>538</v>
      </c>
      <c r="P70">
        <v>10.177734375</v>
      </c>
      <c r="X70" s="64">
        <v>510</v>
      </c>
      <c r="Y70" s="56">
        <v>18.681640625</v>
      </c>
      <c r="Z70" s="55">
        <v>508</v>
      </c>
      <c r="AA70" s="65">
        <v>2.71484375</v>
      </c>
      <c r="AB70" s="57"/>
      <c r="AC70" s="57"/>
      <c r="AD70" s="57"/>
      <c r="AI70" s="64">
        <v>515</v>
      </c>
      <c r="AJ70" s="85">
        <v>12.978515625</v>
      </c>
      <c r="AK70" s="55">
        <v>515</v>
      </c>
      <c r="AL70" s="88">
        <v>3.90625</v>
      </c>
      <c r="AM70" s="83"/>
      <c r="AN70" s="83"/>
      <c r="AO70" s="83"/>
    </row>
    <row r="71" spans="1:41">
      <c r="A71" s="10">
        <v>505</v>
      </c>
      <c r="B71">
        <v>14.619140625</v>
      </c>
      <c r="F71" s="10">
        <v>508</v>
      </c>
      <c r="G71">
        <v>3.1640625</v>
      </c>
      <c r="X71" s="64">
        <v>515</v>
      </c>
      <c r="Y71" s="56">
        <v>17.7685546875</v>
      </c>
      <c r="Z71" s="55">
        <v>515</v>
      </c>
      <c r="AA71" s="65">
        <v>3.30078125</v>
      </c>
      <c r="AB71" s="57"/>
      <c r="AC71" s="57"/>
      <c r="AD71" s="57"/>
      <c r="AI71" s="64">
        <v>520</v>
      </c>
      <c r="AJ71" s="85">
        <v>11.923828125</v>
      </c>
      <c r="AK71" s="55">
        <v>520</v>
      </c>
      <c r="AL71" s="88">
        <v>4.6484375</v>
      </c>
      <c r="AM71" s="83"/>
      <c r="AN71" s="83"/>
      <c r="AO71" s="83"/>
    </row>
    <row r="72" spans="1:41">
      <c r="A72" s="10">
        <v>510</v>
      </c>
      <c r="B72">
        <v>13.8525390625</v>
      </c>
      <c r="F72" s="10">
        <v>515</v>
      </c>
      <c r="G72">
        <v>3.90625</v>
      </c>
      <c r="X72" s="64">
        <v>520</v>
      </c>
      <c r="Y72" s="56">
        <v>16.748046875</v>
      </c>
      <c r="Z72" s="55">
        <v>520</v>
      </c>
      <c r="AA72" s="65">
        <v>3.828125</v>
      </c>
      <c r="AB72" s="57"/>
      <c r="AC72" s="57"/>
      <c r="AD72" s="57"/>
      <c r="AI72" s="64">
        <v>525</v>
      </c>
      <c r="AJ72" s="85">
        <v>10.5078125</v>
      </c>
      <c r="AK72" s="55">
        <v>525</v>
      </c>
      <c r="AL72" s="88">
        <v>5.703125</v>
      </c>
      <c r="AM72" s="83"/>
      <c r="AN72" s="83"/>
      <c r="AO72" s="83"/>
    </row>
    <row r="73" spans="1:41" ht="15" thickBot="1">
      <c r="A73" s="10">
        <v>515</v>
      </c>
      <c r="B73">
        <v>12.978515625</v>
      </c>
      <c r="F73" s="10">
        <v>520</v>
      </c>
      <c r="G73">
        <v>4.6484375</v>
      </c>
      <c r="X73" s="64">
        <v>525</v>
      </c>
      <c r="Y73" s="56">
        <v>15.5859375</v>
      </c>
      <c r="Z73" s="55">
        <v>525</v>
      </c>
      <c r="AA73" s="65">
        <v>4.4921875</v>
      </c>
      <c r="AB73" s="57"/>
      <c r="AC73" s="57"/>
      <c r="AD73" s="57"/>
      <c r="AI73" s="64">
        <v>528</v>
      </c>
      <c r="AJ73" s="90">
        <v>9.0966796875</v>
      </c>
      <c r="AK73" s="58">
        <v>526</v>
      </c>
      <c r="AL73" s="59">
        <v>6.015625</v>
      </c>
      <c r="AM73" s="83"/>
      <c r="AN73" s="83"/>
      <c r="AO73" s="83"/>
    </row>
    <row r="74" spans="1:41">
      <c r="A74" s="10">
        <v>520</v>
      </c>
      <c r="B74">
        <v>11.923828125</v>
      </c>
      <c r="F74" s="10">
        <v>525</v>
      </c>
      <c r="G74">
        <v>5.703125</v>
      </c>
      <c r="X74" s="64">
        <v>530</v>
      </c>
      <c r="Y74" s="56">
        <v>14.1796875</v>
      </c>
      <c r="Z74" s="55">
        <v>530</v>
      </c>
      <c r="AA74" s="65">
        <v>5.3515625</v>
      </c>
      <c r="AB74" s="57"/>
      <c r="AC74" s="57"/>
      <c r="AD74" s="57"/>
      <c r="AG74" s="10"/>
    </row>
    <row r="75" spans="1:41">
      <c r="A75" s="10">
        <v>525</v>
      </c>
      <c r="B75">
        <v>10.5078125</v>
      </c>
      <c r="F75">
        <v>528</v>
      </c>
      <c r="G75">
        <v>9.0966796875</v>
      </c>
      <c r="X75" s="64">
        <v>535</v>
      </c>
      <c r="Y75" s="56">
        <v>12.3046875</v>
      </c>
      <c r="Z75" s="55">
        <v>535</v>
      </c>
      <c r="AA75" s="65">
        <v>6.71875</v>
      </c>
      <c r="AB75" s="57"/>
      <c r="AC75" s="57"/>
      <c r="AD75" s="57"/>
    </row>
    <row r="76" spans="1:41">
      <c r="A76">
        <v>528</v>
      </c>
      <c r="B76">
        <v>9.0966796875</v>
      </c>
      <c r="F76" s="10"/>
      <c r="X76" s="64">
        <v>536</v>
      </c>
      <c r="Y76" s="56">
        <v>11.7578125</v>
      </c>
      <c r="Z76" s="55">
        <v>536</v>
      </c>
      <c r="AA76" s="65">
        <v>7.109375</v>
      </c>
      <c r="AB76" s="57"/>
      <c r="AC76" s="57"/>
      <c r="AD76" s="57"/>
    </row>
    <row r="77" spans="1:41">
      <c r="A77" s="10"/>
      <c r="F77" s="10"/>
      <c r="X77" s="64">
        <v>537</v>
      </c>
      <c r="Y77" s="56">
        <v>11.09375</v>
      </c>
      <c r="Z77" s="55">
        <v>537</v>
      </c>
      <c r="AA77" s="65">
        <v>7.65625</v>
      </c>
      <c r="AB77" s="57"/>
      <c r="AC77" s="57"/>
      <c r="AD77" s="57"/>
    </row>
    <row r="78" spans="1:41" ht="15" thickBot="1">
      <c r="A78" s="10"/>
      <c r="F78" s="10"/>
      <c r="X78" s="66">
        <v>538</v>
      </c>
      <c r="Y78" s="67">
        <v>10.177734375</v>
      </c>
      <c r="Z78" s="58">
        <v>538</v>
      </c>
      <c r="AA78" s="68">
        <v>10.177734375</v>
      </c>
      <c r="AB78" s="57"/>
      <c r="AC78" s="57"/>
      <c r="AD78" s="57"/>
    </row>
    <row r="79" spans="1:41">
      <c r="A79" s="10"/>
      <c r="F79" s="10"/>
    </row>
    <row r="80" spans="1:41">
      <c r="A80" s="10"/>
      <c r="F80" s="10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V74"/>
  <sheetViews>
    <sheetView zoomScale="70" zoomScaleNormal="70" workbookViewId="0"/>
  </sheetViews>
  <sheetFormatPr defaultRowHeight="14.25"/>
  <cols>
    <col min="2" max="2" width="13" customWidth="1"/>
    <col min="3" max="3" width="12.375" customWidth="1"/>
    <col min="4" max="4" width="16.875" customWidth="1"/>
    <col min="5" max="5" width="18" customWidth="1"/>
    <col min="6" max="6" width="10.625" customWidth="1"/>
    <col min="9" max="9" width="11.75" customWidth="1"/>
    <col min="10" max="10" width="11.625" customWidth="1"/>
    <col min="11" max="11" width="11.375" customWidth="1"/>
    <col min="12" max="12" width="12.75" customWidth="1"/>
    <col min="13" max="13" width="12.5" customWidth="1"/>
    <col min="14" max="14" width="9.5" customWidth="1"/>
    <col min="16" max="16" width="16.625" customWidth="1"/>
    <col min="17" max="17" width="19.25" customWidth="1"/>
    <col min="18" max="18" width="18.25" customWidth="1"/>
    <col min="19" max="19" width="16.375" customWidth="1"/>
    <col min="20" max="20" width="25.75" customWidth="1"/>
    <col min="21" max="21" width="25.5" customWidth="1"/>
    <col min="22" max="22" width="20.125" customWidth="1"/>
  </cols>
  <sheetData>
    <row r="1" spans="1:22">
      <c r="A1" t="s">
        <v>110</v>
      </c>
    </row>
    <row r="2" spans="1:22">
      <c r="A2" t="s">
        <v>111</v>
      </c>
      <c r="B2">
        <v>485</v>
      </c>
    </row>
    <row r="3" spans="1:22">
      <c r="A3" t="s">
        <v>112</v>
      </c>
      <c r="B3">
        <v>18</v>
      </c>
      <c r="C3" s="92" t="s">
        <v>113</v>
      </c>
      <c r="D3" s="92"/>
    </row>
    <row r="4" spans="1:22" ht="16.5">
      <c r="A4" t="s">
        <v>120</v>
      </c>
      <c r="B4">
        <v>1</v>
      </c>
    </row>
    <row r="14" spans="1:22">
      <c r="A14" s="11"/>
      <c r="B14" s="11" t="s">
        <v>141</v>
      </c>
      <c r="C14" s="11" t="s">
        <v>127</v>
      </c>
      <c r="D14" s="11" t="s">
        <v>128</v>
      </c>
      <c r="E14" s="11" t="s">
        <v>130</v>
      </c>
      <c r="F14" s="11" t="s">
        <v>129</v>
      </c>
      <c r="G14" s="11" t="s">
        <v>131</v>
      </c>
      <c r="H14" s="11" t="s">
        <v>132</v>
      </c>
      <c r="I14" s="11" t="s">
        <v>133</v>
      </c>
      <c r="J14" s="11" t="s">
        <v>134</v>
      </c>
      <c r="K14" s="11" t="s">
        <v>135</v>
      </c>
      <c r="L14" s="11" t="s">
        <v>136</v>
      </c>
      <c r="M14" s="11" t="s">
        <v>137</v>
      </c>
      <c r="N14" s="11" t="s">
        <v>138</v>
      </c>
      <c r="O14" s="11" t="s">
        <v>139</v>
      </c>
      <c r="P14" s="11" t="s">
        <v>142</v>
      </c>
      <c r="Q14" s="11" t="s">
        <v>144</v>
      </c>
      <c r="R14" s="11" t="s">
        <v>146</v>
      </c>
      <c r="S14" s="11" t="s">
        <v>147</v>
      </c>
      <c r="T14" s="11" t="s">
        <v>150</v>
      </c>
      <c r="U14" s="11" t="s">
        <v>151</v>
      </c>
      <c r="V14" s="11" t="s">
        <v>152</v>
      </c>
    </row>
    <row r="15" spans="1:22" ht="18.75">
      <c r="A15" t="s">
        <v>114</v>
      </c>
      <c r="B15" t="s">
        <v>72</v>
      </c>
      <c r="C15" t="s">
        <v>81</v>
      </c>
      <c r="D15" t="s">
        <v>71</v>
      </c>
      <c r="E15" t="s">
        <v>42</v>
      </c>
      <c r="F15" t="s">
        <v>102</v>
      </c>
      <c r="G15" t="s">
        <v>117</v>
      </c>
      <c r="H15" t="s">
        <v>118</v>
      </c>
      <c r="I15" t="s">
        <v>119</v>
      </c>
      <c r="J15" s="21" t="s">
        <v>122</v>
      </c>
      <c r="K15" t="s">
        <v>123</v>
      </c>
      <c r="L15" s="21" t="s">
        <v>124</v>
      </c>
      <c r="M15" t="s">
        <v>125</v>
      </c>
      <c r="N15" s="21" t="s">
        <v>126</v>
      </c>
      <c r="O15" t="s">
        <v>140</v>
      </c>
      <c r="P15" s="5" t="s">
        <v>143</v>
      </c>
      <c r="Q15" s="5" t="s">
        <v>145</v>
      </c>
      <c r="R15" s="5" t="s">
        <v>154</v>
      </c>
      <c r="S15" t="s">
        <v>148</v>
      </c>
      <c r="T15" t="s">
        <v>153</v>
      </c>
      <c r="U15" t="s">
        <v>121</v>
      </c>
      <c r="V15" t="s">
        <v>107</v>
      </c>
    </row>
    <row r="16" spans="1:22">
      <c r="B16">
        <v>18</v>
      </c>
      <c r="C16">
        <v>0.57695690992310034</v>
      </c>
      <c r="D16">
        <v>0.42304309007689966</v>
      </c>
      <c r="E16">
        <v>0.37936756526980575</v>
      </c>
      <c r="F16">
        <v>0.7851733207835071</v>
      </c>
      <c r="G16">
        <v>0.58248991319685384</v>
      </c>
      <c r="H16">
        <v>0.85866886213189264</v>
      </c>
      <c r="I16">
        <v>0.7418332661602236</v>
      </c>
      <c r="J16">
        <v>5198.3281479613888</v>
      </c>
      <c r="K16">
        <v>2199.1168029473129</v>
      </c>
      <c r="L16">
        <v>2999.211345014076</v>
      </c>
      <c r="M16">
        <v>0.28697713831804456</v>
      </c>
      <c r="N16">
        <v>0.57695690992310034</v>
      </c>
      <c r="O16" s="22">
        <v>0.86393404824114484</v>
      </c>
      <c r="P16" s="20">
        <v>-0.13606595175885516</v>
      </c>
      <c r="Q16" s="20">
        <v>-707.31546700721321</v>
      </c>
      <c r="R16" s="20">
        <v>-0.13606595175885516</v>
      </c>
      <c r="S16">
        <v>0.7558265968648239</v>
      </c>
      <c r="T16">
        <v>3706.5268120212891</v>
      </c>
      <c r="U16">
        <v>5905.6436149686015</v>
      </c>
      <c r="V16">
        <v>0.63406121279565419</v>
      </c>
    </row>
    <row r="17" spans="1:22">
      <c r="E17">
        <v>9.9204440635942109E-2</v>
      </c>
      <c r="F17">
        <v>0.11843561574317282</v>
      </c>
      <c r="V17">
        <v>0.11127439791899872</v>
      </c>
    </row>
    <row r="18" spans="1:22">
      <c r="E18">
        <v>7.3943143686590537E-2</v>
      </c>
      <c r="F18">
        <v>5.8962573148415437E-2</v>
      </c>
      <c r="V18">
        <v>6.4540970108356868E-2</v>
      </c>
    </row>
    <row r="19" spans="1:22">
      <c r="E19">
        <v>5.0975473526950277E-3</v>
      </c>
      <c r="F19">
        <v>3.0219203308180513E-3</v>
      </c>
      <c r="V19">
        <v>3.7948329137737396E-3</v>
      </c>
    </row>
    <row r="20" spans="1:22">
      <c r="E20">
        <v>5.9137476050728013E-3</v>
      </c>
      <c r="F20">
        <v>3.1167491164198276E-3</v>
      </c>
      <c r="V20">
        <v>4.1582827366715971E-3</v>
      </c>
    </row>
    <row r="21" spans="1:22">
      <c r="E21">
        <v>2.3120346276756195E-3</v>
      </c>
      <c r="F21">
        <v>9.0459047767167656E-4</v>
      </c>
      <c r="V21">
        <v>1.4286881512323637E-3</v>
      </c>
    </row>
    <row r="22" spans="1:22">
      <c r="E22">
        <v>3.0817136495226469E-3</v>
      </c>
      <c r="F22">
        <v>1.033530103752909E-3</v>
      </c>
      <c r="V22">
        <v>1.7962234094589943E-3</v>
      </c>
    </row>
    <row r="23" spans="1:22">
      <c r="E23">
        <v>7.0021067819191736E-3</v>
      </c>
      <c r="F23">
        <v>1.6254370019651776E-3</v>
      </c>
      <c r="V23">
        <v>3.6275769257199113E-3</v>
      </c>
    </row>
    <row r="24" spans="1:22">
      <c r="E24">
        <v>0.42407770353070445</v>
      </c>
      <c r="F24">
        <v>2.7726260991982166E-2</v>
      </c>
      <c r="V24">
        <v>0.17531781476438921</v>
      </c>
    </row>
    <row r="25" spans="1:22">
      <c r="A25">
        <v>2</v>
      </c>
      <c r="B25">
        <v>15</v>
      </c>
      <c r="C25">
        <v>0.79224497429389895</v>
      </c>
      <c r="D25">
        <v>0.20775502570610105</v>
      </c>
      <c r="G25">
        <v>0.59419790972087771</v>
      </c>
      <c r="H25">
        <v>0.78196691365270654</v>
      </c>
      <c r="I25">
        <v>0.74295695941404039</v>
      </c>
      <c r="J25">
        <v>5198.3281479613888</v>
      </c>
      <c r="K25">
        <v>1226.9271410388733</v>
      </c>
      <c r="L25">
        <v>4678.7164739297277</v>
      </c>
      <c r="M25">
        <v>0.19599352950102733</v>
      </c>
      <c r="N25">
        <v>0.98357378791675043</v>
      </c>
      <c r="O25">
        <v>1.1795673174177779</v>
      </c>
      <c r="P25">
        <v>0.17956731741777787</v>
      </c>
      <c r="Q25">
        <v>854.17543300069678</v>
      </c>
      <c r="R25">
        <v>16.431733601420987</v>
      </c>
      <c r="S25">
        <v>0.73636059112014596</v>
      </c>
      <c r="T25">
        <v>3824.5410409290307</v>
      </c>
      <c r="U25">
        <v>5051.4681819679045</v>
      </c>
    </row>
    <row r="26" spans="1:22">
      <c r="E26">
        <v>0.47200549483752063</v>
      </c>
      <c r="F26">
        <v>0.67655802999568726</v>
      </c>
      <c r="V26">
        <v>0.62687523518966459</v>
      </c>
    </row>
    <row r="27" spans="1:22">
      <c r="E27">
        <v>9.601138245558008E-2</v>
      </c>
      <c r="F27">
        <v>0.11527690758815923</v>
      </c>
      <c r="V27">
        <v>0.11059759559013344</v>
      </c>
    </row>
    <row r="28" spans="1:22">
      <c r="E28">
        <v>6.3863643785294341E-2</v>
      </c>
      <c r="F28">
        <v>6.4718589345114666E-2</v>
      </c>
      <c r="V28">
        <v>6.4510935674207917E-2</v>
      </c>
    </row>
    <row r="29" spans="1:22">
      <c r="E29">
        <v>4.1068450711025358E-3</v>
      </c>
      <c r="F29">
        <v>3.7130121438480818E-3</v>
      </c>
      <c r="V29">
        <v>3.8086683550874511E-3</v>
      </c>
    </row>
    <row r="30" spans="1:22">
      <c r="E30">
        <v>4.6483881524556989E-3</v>
      </c>
      <c r="F30">
        <v>4.0297595316545181E-3</v>
      </c>
      <c r="V30">
        <v>4.1800153024012954E-3</v>
      </c>
    </row>
    <row r="31" spans="1:22">
      <c r="E31">
        <v>1.7698539389085185E-3</v>
      </c>
      <c r="F31">
        <v>1.3392222545860976E-3</v>
      </c>
      <c r="V31">
        <v>1.4438163413453713E-3</v>
      </c>
    </row>
    <row r="32" spans="1:22">
      <c r="E32">
        <v>2.2668329970471127E-3</v>
      </c>
      <c r="F32">
        <v>1.672812709310284E-3</v>
      </c>
      <c r="V32">
        <v>1.8170914787883703E-3</v>
      </c>
    </row>
    <row r="33" spans="1:22">
      <c r="E33">
        <v>5.0984232938142407E-3</v>
      </c>
      <c r="F33">
        <v>3.241868294010998E-3</v>
      </c>
      <c r="V33">
        <v>3.6927981298597572E-3</v>
      </c>
    </row>
    <row r="34" spans="1:22">
      <c r="E34">
        <v>0.35022913522423527</v>
      </c>
      <c r="F34">
        <v>0.12944979785357083</v>
      </c>
      <c r="V34">
        <v>0.18307384366417301</v>
      </c>
    </row>
    <row r="35" spans="1:22">
      <c r="A35">
        <v>3</v>
      </c>
      <c r="B35">
        <v>12</v>
      </c>
      <c r="C35">
        <v>0.77838484689037157</v>
      </c>
      <c r="D35">
        <v>0.22161515310962843</v>
      </c>
      <c r="G35">
        <v>0.49778164751806409</v>
      </c>
      <c r="H35">
        <v>0.82426718607278782</v>
      </c>
      <c r="I35">
        <v>0.75191304345790322</v>
      </c>
      <c r="J35">
        <v>5198.3281479613888</v>
      </c>
      <c r="K35">
        <v>1119.4818945752336</v>
      </c>
      <c r="L35">
        <v>3931.9862873926709</v>
      </c>
      <c r="M35">
        <v>0.18726551461368113</v>
      </c>
      <c r="N35">
        <v>1.0891353624248681</v>
      </c>
      <c r="O35">
        <v>1.2764008770385491</v>
      </c>
      <c r="P35">
        <v>0.2764008770385491</v>
      </c>
      <c r="Q35">
        <v>997.85985822662497</v>
      </c>
      <c r="R35">
        <v>35.627517896376517</v>
      </c>
      <c r="S35">
        <v>0.73410192587435674</v>
      </c>
      <c r="T35">
        <v>2934.1264291660459</v>
      </c>
      <c r="U35">
        <v>4053.6083237412795</v>
      </c>
    </row>
    <row r="36" spans="1:22">
      <c r="E36">
        <v>0.37083909670224785</v>
      </c>
      <c r="F36">
        <v>0.69977167999992496</v>
      </c>
      <c r="V36">
        <v>0.60893062133598685</v>
      </c>
    </row>
    <row r="37" spans="1:22">
      <c r="E37">
        <v>8.30408397974777E-2</v>
      </c>
      <c r="F37">
        <v>0.11844332213348963</v>
      </c>
      <c r="V37">
        <v>0.10866624580224554</v>
      </c>
    </row>
    <row r="38" spans="1:22">
      <c r="E38">
        <v>6.0277753063858019E-2</v>
      </c>
      <c r="F38">
        <v>6.5716171639529627E-2</v>
      </c>
      <c r="V38">
        <v>6.4214247762245186E-2</v>
      </c>
    </row>
    <row r="39" spans="1:22">
      <c r="E39">
        <v>4.0984892922747455E-3</v>
      </c>
      <c r="F39">
        <v>3.7261529880094173E-3</v>
      </c>
      <c r="V39">
        <v>3.8289808189265846E-3</v>
      </c>
    </row>
    <row r="40" spans="1:22">
      <c r="E40">
        <v>4.7271117269149779E-3</v>
      </c>
      <c r="F40">
        <v>4.0242506335890745E-3</v>
      </c>
      <c r="V40">
        <v>4.2183592414117193E-3</v>
      </c>
    </row>
    <row r="41" spans="1:22">
      <c r="E41">
        <v>1.910488195413271E-3</v>
      </c>
      <c r="F41">
        <v>1.3109494763179001E-3</v>
      </c>
      <c r="V41">
        <v>1.4765236234778889E-3</v>
      </c>
    </row>
    <row r="42" spans="1:22">
      <c r="E42">
        <v>2.4769008915046299E-3</v>
      </c>
      <c r="F42">
        <v>1.6292361208552761E-3</v>
      </c>
      <c r="V42">
        <v>1.8633350489271896E-3</v>
      </c>
    </row>
    <row r="43" spans="1:22">
      <c r="E43">
        <v>5.9108283198127821E-3</v>
      </c>
      <c r="F43">
        <v>3.061299325493325E-3</v>
      </c>
      <c r="V43">
        <v>3.8482515572924735E-3</v>
      </c>
    </row>
    <row r="44" spans="1:22">
      <c r="E44">
        <v>0.46671849731773818</v>
      </c>
      <c r="F44">
        <v>0.10231693581931153</v>
      </c>
      <c r="V44">
        <v>0.20295343492633994</v>
      </c>
    </row>
    <row r="45" spans="1:22">
      <c r="A45">
        <v>4</v>
      </c>
      <c r="B45">
        <v>9</v>
      </c>
      <c r="C45">
        <v>0.77287356892677772</v>
      </c>
      <c r="D45">
        <v>0.22712643107322228</v>
      </c>
      <c r="G45">
        <v>0.39725282282159197</v>
      </c>
      <c r="H45">
        <v>0.85912156818747398</v>
      </c>
      <c r="I45">
        <v>0.75421896842825431</v>
      </c>
      <c r="J45">
        <v>5198.3281479613888</v>
      </c>
      <c r="K45">
        <v>920.68159154006378</v>
      </c>
      <c r="L45">
        <v>3132.9267322012156</v>
      </c>
      <c r="M45">
        <v>0.16387663656517687</v>
      </c>
      <c r="N45">
        <v>1.2059948428481431</v>
      </c>
      <c r="O45">
        <v>1.36987147941332</v>
      </c>
      <c r="P45">
        <v>0.36987147941331999</v>
      </c>
      <c r="Q45">
        <v>960.85008340181901</v>
      </c>
      <c r="R45">
        <v>54.111346851626919</v>
      </c>
      <c r="S45">
        <v>0.72162810166957414</v>
      </c>
      <c r="T45">
        <v>2172.0766487993965</v>
      </c>
      <c r="U45">
        <v>3092.7582403394604</v>
      </c>
    </row>
    <row r="46" spans="1:22">
      <c r="E46">
        <v>0.2774014021433564</v>
      </c>
      <c r="F46">
        <v>0.70635800322494879</v>
      </c>
      <c r="V46">
        <v>0.57866213581629256</v>
      </c>
    </row>
    <row r="47" spans="1:22">
      <c r="E47">
        <v>6.790680947033928E-2</v>
      </c>
      <c r="F47">
        <v>0.12064433080711541</v>
      </c>
      <c r="V47">
        <v>0.10494492551739196</v>
      </c>
    </row>
    <row r="48" spans="1:22">
      <c r="E48">
        <v>5.360244477192222E-2</v>
      </c>
      <c r="F48">
        <v>6.7332766802547031E-2</v>
      </c>
      <c r="V48">
        <v>6.3245394380535225E-2</v>
      </c>
    </row>
    <row r="49" spans="1:22">
      <c r="E49">
        <v>3.8508592187159541E-3</v>
      </c>
      <c r="F49">
        <v>3.8225513548311146E-3</v>
      </c>
      <c r="V49">
        <v>3.8309783081036507E-3</v>
      </c>
    </row>
    <row r="50" spans="1:22">
      <c r="E50">
        <v>4.5226343151455158E-3</v>
      </c>
      <c r="F50">
        <v>4.1289411084334303E-3</v>
      </c>
      <c r="V50">
        <v>4.2461394343182267E-3</v>
      </c>
    </row>
    <row r="51" spans="1:22">
      <c r="E51">
        <v>1.9397378197710843E-3</v>
      </c>
      <c r="F51">
        <v>1.3403976237589207E-3</v>
      </c>
      <c r="V51">
        <v>1.5188148948993402E-3</v>
      </c>
    </row>
    <row r="52" spans="1:22">
      <c r="E52">
        <v>2.548402282623641E-3</v>
      </c>
      <c r="F52">
        <v>1.6620125013716508E-3</v>
      </c>
      <c r="V52">
        <v>1.9258814142027935E-3</v>
      </c>
    </row>
    <row r="53" spans="1:22">
      <c r="E53">
        <v>6.4567410468041103E-3</v>
      </c>
      <c r="F53">
        <v>3.0816877465161745E-3</v>
      </c>
      <c r="V53">
        <v>4.0864056075865501E-3</v>
      </c>
    </row>
    <row r="54" spans="1:22">
      <c r="E54">
        <v>0.58177097670158773</v>
      </c>
      <c r="F54">
        <v>9.1629306698201851E-2</v>
      </c>
      <c r="V54">
        <v>0.23753932544227652</v>
      </c>
    </row>
    <row r="55" spans="1:22">
      <c r="A55">
        <v>5</v>
      </c>
      <c r="B55">
        <v>6</v>
      </c>
      <c r="C55">
        <v>0.76575437233578325</v>
      </c>
      <c r="D55">
        <v>0.23424562766421675</v>
      </c>
      <c r="G55">
        <v>0.28430268570467132</v>
      </c>
      <c r="H55">
        <v>0.89220397802565476</v>
      </c>
      <c r="I55">
        <v>0.74980575824803741</v>
      </c>
      <c r="J55">
        <v>5198.3281479613888</v>
      </c>
      <c r="K55">
        <v>724.4650952219954</v>
      </c>
      <c r="L55">
        <v>2368.293145117465</v>
      </c>
      <c r="M55">
        <v>0.13843001867326224</v>
      </c>
      <c r="N55">
        <v>1.4201409887056167</v>
      </c>
      <c r="O55">
        <v>1.558571007378879</v>
      </c>
      <c r="P55">
        <v>0.55857100737887899</v>
      </c>
      <c r="Q55">
        <v>931.49898380334253</v>
      </c>
      <c r="R55">
        <v>72.030550050998727</v>
      </c>
      <c r="S55">
        <v>0.68843237297872661</v>
      </c>
      <c r="T55">
        <v>1436.7941613141224</v>
      </c>
      <c r="U55">
        <v>2161.2592565361178</v>
      </c>
    </row>
    <row r="56" spans="1:22">
      <c r="E56">
        <v>0.18415237859926842</v>
      </c>
      <c r="F56">
        <v>0.69934337387057144</v>
      </c>
      <c r="V56">
        <v>0.52664873193069928</v>
      </c>
    </row>
    <row r="57" spans="1:22">
      <c r="E57">
        <v>4.9392983129530055E-2</v>
      </c>
      <c r="F57">
        <v>0.12193836373037679</v>
      </c>
      <c r="V57">
        <v>9.7620783178221496E-2</v>
      </c>
    </row>
    <row r="58" spans="1:22">
      <c r="E58">
        <v>4.2697523277275481E-2</v>
      </c>
      <c r="F58">
        <v>6.9531024783225093E-2</v>
      </c>
      <c r="V58">
        <v>6.0536298599933223E-2</v>
      </c>
    </row>
    <row r="59" spans="1:22">
      <c r="E59">
        <v>3.2662752912506741E-3</v>
      </c>
      <c r="F59">
        <v>4.0037219676966225E-3</v>
      </c>
      <c r="V59">
        <v>3.7565260910072083E-3</v>
      </c>
    </row>
    <row r="60" spans="1:22">
      <c r="E60">
        <v>3.9158597712574822E-3</v>
      </c>
      <c r="F60">
        <v>4.3471725720623817E-3</v>
      </c>
      <c r="V60">
        <v>4.2025943275224888E-3</v>
      </c>
    </row>
    <row r="61" spans="1:22">
      <c r="E61">
        <v>1.8029528481072477E-3</v>
      </c>
      <c r="F61">
        <v>1.4318965884593917E-3</v>
      </c>
      <c r="V61">
        <v>1.5562765339312455E-3</v>
      </c>
    </row>
    <row r="62" spans="1:22">
      <c r="E62">
        <v>2.4092516202509641E-3</v>
      </c>
      <c r="F62">
        <v>1.7780176064330019E-3</v>
      </c>
      <c r="V62">
        <v>1.989610458398816E-3</v>
      </c>
    </row>
    <row r="63" spans="1:22">
      <c r="E63">
        <v>6.5799706856997289E-3</v>
      </c>
      <c r="F63">
        <v>3.3236196047296677E-3</v>
      </c>
      <c r="V63">
        <v>4.4151650492739777E-3</v>
      </c>
    </row>
    <row r="64" spans="1:22">
      <c r="E64">
        <v>0.70578280573397856</v>
      </c>
      <c r="F64">
        <v>9.4302810048916663E-2</v>
      </c>
      <c r="V64">
        <v>0.29927401466521053</v>
      </c>
    </row>
    <row r="65" spans="1:22">
      <c r="A65">
        <v>6</v>
      </c>
      <c r="B65">
        <v>3</v>
      </c>
      <c r="C65">
        <v>0.76401326046809603</v>
      </c>
      <c r="D65">
        <v>0.23598673953190397</v>
      </c>
      <c r="G65">
        <v>0.15372144809711397</v>
      </c>
      <c r="H65">
        <v>0.92416361742827979</v>
      </c>
      <c r="I65">
        <v>0.74234948188993088</v>
      </c>
      <c r="J65">
        <v>5198.3281479613888</v>
      </c>
      <c r="K65">
        <v>510.02852523310526</v>
      </c>
      <c r="L65">
        <v>1651.2307313030126</v>
      </c>
      <c r="M65">
        <v>0.10538790665987958</v>
      </c>
      <c r="N65">
        <v>2.0512494364618981</v>
      </c>
      <c r="O65">
        <v>2.1566373431217776</v>
      </c>
      <c r="P65">
        <v>1.1566373431217776</v>
      </c>
      <c r="Q65">
        <v>931.07892779222323</v>
      </c>
      <c r="R65">
        <v>89.941672652163518</v>
      </c>
      <c r="S65">
        <v>0.60474094888130536</v>
      </c>
      <c r="T65">
        <v>720.15180351078936</v>
      </c>
      <c r="U65">
        <v>1230.1803287438947</v>
      </c>
    </row>
    <row r="66" spans="1:22">
      <c r="E66">
        <v>8.8716674978596352E-2</v>
      </c>
      <c r="F66">
        <v>0.6619162247924183</v>
      </c>
      <c r="V66">
        <v>0.42426966662128207</v>
      </c>
    </row>
    <row r="67" spans="1:22">
      <c r="E67">
        <v>2.6347191001798213E-2</v>
      </c>
      <c r="F67">
        <v>0.11963561394455623</v>
      </c>
      <c r="V67">
        <v>8.0958555253982364E-2</v>
      </c>
    </row>
    <row r="68" spans="1:22">
      <c r="E68">
        <v>2.5436835361837561E-2</v>
      </c>
      <c r="F68">
        <v>7.1377743791346898E-2</v>
      </c>
      <c r="V68">
        <v>5.2330801463715347E-2</v>
      </c>
    </row>
    <row r="69" spans="1:22">
      <c r="E69">
        <v>2.1144450059588926E-3</v>
      </c>
      <c r="F69">
        <v>4.2637284935808806E-3</v>
      </c>
      <c r="V69">
        <v>3.3726429658038227E-3</v>
      </c>
    </row>
    <row r="70" spans="1:22">
      <c r="E70">
        <v>2.6070502493588344E-3</v>
      </c>
      <c r="F70">
        <v>4.6954224815189093E-3</v>
      </c>
      <c r="V70">
        <v>3.8295905503629725E-3</v>
      </c>
    </row>
    <row r="71" spans="1:22">
      <c r="E71">
        <v>1.3311529377805916E-3</v>
      </c>
      <c r="F71">
        <v>1.6258122163547947E-3</v>
      </c>
      <c r="V71">
        <v>1.5036474948209172E-3</v>
      </c>
    </row>
    <row r="72" spans="1:22">
      <c r="E72">
        <v>1.8265563130023122E-3</v>
      </c>
      <c r="F72">
        <v>2.0399742650632539E-3</v>
      </c>
      <c r="V72">
        <v>1.9514919175532305E-3</v>
      </c>
    </row>
    <row r="73" spans="1:22">
      <c r="E73">
        <v>5.6344640575580734E-3</v>
      </c>
      <c r="F73">
        <v>4.0385506469229554E-3</v>
      </c>
      <c r="V73">
        <v>4.7002108476327806E-3</v>
      </c>
    </row>
    <row r="74" spans="1:22">
      <c r="E74">
        <v>0.84598570548679164</v>
      </c>
      <c r="F74">
        <v>0.13040690717297507</v>
      </c>
      <c r="V74">
        <v>0.4270834111492095</v>
      </c>
    </row>
  </sheetData>
  <mergeCells count="1">
    <mergeCell ref="C3:D3"/>
  </mergeCell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AC181"/>
  <sheetViews>
    <sheetView zoomScale="70" zoomScaleNormal="70" workbookViewId="0">
      <selection activeCell="L24" sqref="L24"/>
    </sheetView>
  </sheetViews>
  <sheetFormatPr defaultRowHeight="14.25"/>
  <cols>
    <col min="1" max="1" width="12.125" customWidth="1"/>
    <col min="2" max="2" width="9.625" bestFit="1" customWidth="1"/>
    <col min="3" max="3" width="13" bestFit="1" customWidth="1"/>
    <col min="4" max="7" width="9.625" bestFit="1" customWidth="1"/>
    <col min="8" max="8" width="15.625" customWidth="1"/>
    <col min="21" max="21" width="16.875" customWidth="1"/>
    <col min="22" max="22" width="9.25" bestFit="1" customWidth="1"/>
  </cols>
  <sheetData>
    <row r="1" spans="1:26">
      <c r="A1" t="s">
        <v>155</v>
      </c>
    </row>
    <row r="5" spans="1:26">
      <c r="P5" s="3" t="s">
        <v>11</v>
      </c>
      <c r="Q5" s="3">
        <v>61.35</v>
      </c>
      <c r="S5">
        <f>SUMPRODUCT(Q5:Q12,P17:P24)</f>
        <v>1717.8001099999999</v>
      </c>
    </row>
    <row r="6" spans="1:26">
      <c r="A6" t="s">
        <v>156</v>
      </c>
      <c r="B6" t="s">
        <v>157</v>
      </c>
      <c r="C6" t="s">
        <v>149</v>
      </c>
      <c r="D6" t="s">
        <v>81</v>
      </c>
      <c r="E6" t="s">
        <v>71</v>
      </c>
      <c r="F6" t="s">
        <v>158</v>
      </c>
      <c r="G6" t="s">
        <v>159</v>
      </c>
      <c r="H6" t="s">
        <v>148</v>
      </c>
      <c r="P6" s="3" t="s">
        <v>12</v>
      </c>
      <c r="Q6" s="3">
        <v>11.03</v>
      </c>
    </row>
    <row r="7" spans="1:26">
      <c r="A7" s="22">
        <v>1</v>
      </c>
      <c r="B7" s="22">
        <v>18</v>
      </c>
      <c r="C7" s="22">
        <v>-0.13606595175885516</v>
      </c>
      <c r="D7" s="22">
        <v>0.57695690992310034</v>
      </c>
      <c r="E7" s="22">
        <v>0.42304309007689966</v>
      </c>
      <c r="F7" s="22">
        <v>0.85866886213189264</v>
      </c>
      <c r="G7" s="22">
        <v>0.58248991319685384</v>
      </c>
      <c r="H7" s="22">
        <v>0.72626562643752623</v>
      </c>
      <c r="P7" s="3" t="s">
        <v>13</v>
      </c>
      <c r="Q7" s="3">
        <v>6.53</v>
      </c>
    </row>
    <row r="8" spans="1:26">
      <c r="A8" s="22">
        <v>2</v>
      </c>
      <c r="B8" s="22">
        <v>15</v>
      </c>
      <c r="C8" s="22">
        <v>16.431733601420987</v>
      </c>
      <c r="D8" s="22">
        <v>0.79224497429389895</v>
      </c>
      <c r="E8" s="22">
        <v>0.20775502570610105</v>
      </c>
      <c r="F8" s="22">
        <v>0.78196691365270654</v>
      </c>
      <c r="G8" s="22">
        <v>0.59419790972087771</v>
      </c>
      <c r="H8" s="22">
        <v>0.73636059112014596</v>
      </c>
      <c r="P8" s="3" t="s">
        <v>14</v>
      </c>
      <c r="Q8" s="3">
        <v>0.39</v>
      </c>
    </row>
    <row r="9" spans="1:26">
      <c r="A9" s="22">
        <v>3</v>
      </c>
      <c r="B9" s="22">
        <v>12</v>
      </c>
      <c r="C9" s="22">
        <v>35.627517896376517</v>
      </c>
      <c r="D9" s="22">
        <v>0.77838484689037157</v>
      </c>
      <c r="E9" s="22">
        <v>0.22161515310962843</v>
      </c>
      <c r="F9" s="22">
        <v>0.82426718607278782</v>
      </c>
      <c r="G9" s="22">
        <v>0.49778164751806409</v>
      </c>
      <c r="H9" s="22">
        <v>0.73410192587435674</v>
      </c>
      <c r="P9" s="3" t="s">
        <v>15</v>
      </c>
      <c r="Q9" s="3">
        <v>0.43</v>
      </c>
    </row>
    <row r="10" spans="1:26">
      <c r="A10" s="22">
        <v>4</v>
      </c>
      <c r="B10" s="22">
        <v>9</v>
      </c>
      <c r="C10" s="22">
        <v>54.111346851626919</v>
      </c>
      <c r="D10" s="22">
        <v>0.77287356892677772</v>
      </c>
      <c r="E10" s="22">
        <v>0.22712643107322228</v>
      </c>
      <c r="F10" s="22">
        <v>0.85912156818747398</v>
      </c>
      <c r="G10" s="22">
        <v>0.39725282282159197</v>
      </c>
      <c r="H10" s="22">
        <v>0.72162810166957414</v>
      </c>
      <c r="P10" s="3" t="s">
        <v>17</v>
      </c>
      <c r="Q10" s="3">
        <v>0.15</v>
      </c>
    </row>
    <row r="11" spans="1:26">
      <c r="A11" s="22">
        <v>5</v>
      </c>
      <c r="B11" s="22">
        <v>6</v>
      </c>
      <c r="C11" s="22">
        <v>72.030550050998727</v>
      </c>
      <c r="D11" s="22">
        <v>0.76575437233578325</v>
      </c>
      <c r="E11" s="22">
        <v>0.23424562766421675</v>
      </c>
      <c r="F11" s="22">
        <v>0.89220397802565476</v>
      </c>
      <c r="G11" s="22">
        <v>0.28430268570467132</v>
      </c>
      <c r="H11" s="22">
        <v>0.68843237297872661</v>
      </c>
      <c r="P11" s="3" t="s">
        <v>223</v>
      </c>
      <c r="Q11" s="3">
        <v>0.19</v>
      </c>
    </row>
    <row r="12" spans="1:26">
      <c r="A12" s="22">
        <v>6</v>
      </c>
      <c r="B12" s="22">
        <v>3</v>
      </c>
      <c r="C12" s="22">
        <v>89.941672652163518</v>
      </c>
      <c r="D12" s="22">
        <v>0.76401326046809603</v>
      </c>
      <c r="E12" s="22">
        <v>0.23598673953190397</v>
      </c>
      <c r="F12" s="22">
        <v>0.92416361742827979</v>
      </c>
      <c r="G12" s="22">
        <v>0.15372144809711397</v>
      </c>
      <c r="H12" s="22">
        <v>0.60474094888130536</v>
      </c>
      <c r="P12" s="3" t="s">
        <v>18</v>
      </c>
      <c r="Q12" s="3">
        <v>0.39</v>
      </c>
    </row>
    <row r="13" spans="1:26">
      <c r="A13" s="22">
        <v>7</v>
      </c>
      <c r="B13" s="22">
        <v>6</v>
      </c>
      <c r="C13" s="22">
        <v>66.151482708449208</v>
      </c>
      <c r="D13" s="22">
        <v>0.65224715919461418</v>
      </c>
      <c r="E13" s="22">
        <v>0.34775284080538582</v>
      </c>
      <c r="F13" s="22">
        <v>0.92675696377022176</v>
      </c>
      <c r="G13" s="22">
        <v>0.28700710569167748</v>
      </c>
      <c r="H13" s="22">
        <v>0.62782505929088828</v>
      </c>
      <c r="P13" s="3" t="s">
        <v>183</v>
      </c>
      <c r="Q13" s="3">
        <v>19.54</v>
      </c>
    </row>
    <row r="14" spans="1:26">
      <c r="A14" s="22">
        <v>8</v>
      </c>
      <c r="B14" s="22">
        <v>3</v>
      </c>
      <c r="C14" s="22">
        <v>78.204558377488524</v>
      </c>
      <c r="D14" s="22">
        <v>0.6283539278636604</v>
      </c>
      <c r="E14" s="22">
        <v>0.3716460721363396</v>
      </c>
      <c r="F14" s="22">
        <v>0.94345109517794723</v>
      </c>
      <c r="G14" s="22">
        <v>0.15348913539637218</v>
      </c>
      <c r="H14" s="22">
        <v>0.48750898796947156</v>
      </c>
      <c r="N14" s="92" t="s">
        <v>164</v>
      </c>
      <c r="O14" s="92"/>
      <c r="P14" s="92"/>
    </row>
    <row r="15" spans="1:26">
      <c r="A15" s="22"/>
      <c r="B15" s="22"/>
      <c r="C15" s="22"/>
      <c r="D15" s="22"/>
      <c r="E15" s="22"/>
      <c r="F15" s="22"/>
      <c r="G15" s="22"/>
      <c r="H15" s="22"/>
    </row>
    <row r="16" spans="1:26">
      <c r="O16" t="s">
        <v>107</v>
      </c>
      <c r="P16" t="s">
        <v>163</v>
      </c>
      <c r="Q16" t="s">
        <v>8</v>
      </c>
      <c r="R16" t="s">
        <v>121</v>
      </c>
      <c r="S16" t="s">
        <v>168</v>
      </c>
      <c r="T16" t="s">
        <v>56</v>
      </c>
      <c r="U16" t="s">
        <v>42</v>
      </c>
      <c r="V16" t="s">
        <v>39</v>
      </c>
      <c r="W16" t="s">
        <v>174</v>
      </c>
      <c r="X16" t="s">
        <v>40</v>
      </c>
      <c r="Y16" t="s">
        <v>175</v>
      </c>
      <c r="Z16" t="s">
        <v>163</v>
      </c>
    </row>
    <row r="17" spans="1:25">
      <c r="N17" s="3" t="s">
        <v>11</v>
      </c>
      <c r="O17" s="3">
        <v>61.35</v>
      </c>
      <c r="P17">
        <v>16.042999999999999</v>
      </c>
      <c r="Q17">
        <v>9160.6412999999993</v>
      </c>
      <c r="R17">
        <v>61.093200000000003</v>
      </c>
      <c r="S17">
        <v>3.3162470000000002</v>
      </c>
      <c r="T17">
        <v>0.50870000000000004</v>
      </c>
      <c r="U17">
        <v>5.2018345411958558E-2</v>
      </c>
      <c r="V17">
        <f>Q17*EXP(R17/$P$30)</f>
        <v>9824.6736720809586</v>
      </c>
      <c r="W17">
        <f>U17*V17</f>
        <v>511.06326863408259</v>
      </c>
      <c r="X17">
        <f>S17/10^4*$P$30+T17</f>
        <v>0.7982083631000001</v>
      </c>
      <c r="Y17">
        <f>U17*X17</f>
        <v>4.152147834244984E-2</v>
      </c>
    </row>
    <row r="18" spans="1:25">
      <c r="N18" s="3" t="s">
        <v>12</v>
      </c>
      <c r="O18" s="3">
        <v>11.03</v>
      </c>
      <c r="P18">
        <v>30.07</v>
      </c>
      <c r="Q18">
        <v>46709.572999999997</v>
      </c>
      <c r="R18">
        <v>-404.48840000000001</v>
      </c>
      <c r="S18">
        <v>5.1520999999999999</v>
      </c>
      <c r="T18">
        <v>0.52239999999999998</v>
      </c>
      <c r="U18">
        <v>2.0361020142795724E-2</v>
      </c>
      <c r="V18">
        <f t="shared" ref="V18:V24" si="0">Q18*EXP(R18/$P$30)</f>
        <v>29388.917055974867</v>
      </c>
      <c r="W18">
        <f t="shared" ref="W18:W25" si="1">U18*V18</f>
        <v>598.3883321516571</v>
      </c>
      <c r="X18">
        <f t="shared" ref="X18:X24" si="2">S18/10^4*$P$30+T18</f>
        <v>0.97217832999999998</v>
      </c>
      <c r="Y18">
        <f t="shared" ref="Y18:Y23" si="3">U18*X18</f>
        <v>1.9794542559519509E-2</v>
      </c>
    </row>
    <row r="19" spans="1:25">
      <c r="N19" s="3" t="s">
        <v>13</v>
      </c>
      <c r="O19" s="3">
        <v>6.53</v>
      </c>
      <c r="P19">
        <v>44.097000000000001</v>
      </c>
      <c r="Q19">
        <v>20247.757000000001</v>
      </c>
      <c r="R19">
        <v>190.24420000000001</v>
      </c>
      <c r="S19">
        <v>2.1585999999999999</v>
      </c>
      <c r="T19">
        <v>0.9083</v>
      </c>
      <c r="U19">
        <v>2.3871159911864649E-2</v>
      </c>
      <c r="V19">
        <f t="shared" si="0"/>
        <v>25177.835599790022</v>
      </c>
      <c r="W19">
        <f t="shared" si="1"/>
        <v>601.02413983722624</v>
      </c>
      <c r="X19">
        <f t="shared" si="2"/>
        <v>1.09674578</v>
      </c>
      <c r="Y19">
        <f t="shared" si="3"/>
        <v>2.6180593897042727E-2</v>
      </c>
    </row>
    <row r="20" spans="1:25">
      <c r="H20" t="s">
        <v>8</v>
      </c>
      <c r="I20">
        <v>273.14999999999998</v>
      </c>
      <c r="N20" s="3" t="s">
        <v>14</v>
      </c>
      <c r="O20" s="3">
        <v>0.39</v>
      </c>
      <c r="P20">
        <v>58.122999999999998</v>
      </c>
      <c r="Q20">
        <v>32204.42</v>
      </c>
      <c r="R20">
        <v>131.6317</v>
      </c>
      <c r="S20">
        <v>3.3862000000000001</v>
      </c>
      <c r="T20">
        <v>1.1013999999999999</v>
      </c>
      <c r="U20">
        <v>2.1785814430817954E-3</v>
      </c>
      <c r="V20">
        <f t="shared" si="0"/>
        <v>37445.426541075358</v>
      </c>
      <c r="W20">
        <f t="shared" si="1"/>
        <v>81.577911390669314</v>
      </c>
      <c r="X20">
        <f t="shared" si="2"/>
        <v>1.3970152599999999</v>
      </c>
      <c r="Y20">
        <f t="shared" si="3"/>
        <v>3.0435115211380893E-3</v>
      </c>
    </row>
    <row r="21" spans="1:25">
      <c r="A21" t="s">
        <v>160</v>
      </c>
      <c r="B21">
        <v>5</v>
      </c>
      <c r="H21" t="s">
        <v>185</v>
      </c>
      <c r="I21">
        <v>101325</v>
      </c>
      <c r="N21" s="3" t="s">
        <v>15</v>
      </c>
      <c r="O21" s="3">
        <v>0.43</v>
      </c>
      <c r="P21">
        <v>58.122999999999998</v>
      </c>
      <c r="Q21">
        <v>33016.212</v>
      </c>
      <c r="R21">
        <v>146.15450000000001</v>
      </c>
      <c r="S21">
        <v>2.9022000000000001</v>
      </c>
      <c r="T21">
        <v>1.1168</v>
      </c>
      <c r="U21">
        <v>2.7557297891804282E-3</v>
      </c>
      <c r="V21">
        <f t="shared" si="0"/>
        <v>39033.298668668074</v>
      </c>
      <c r="W21">
        <f t="shared" si="1"/>
        <v>107.56522391122536</v>
      </c>
      <c r="X21">
        <f t="shared" si="2"/>
        <v>1.37016206</v>
      </c>
      <c r="Y21">
        <f t="shared" si="3"/>
        <v>3.7757964047468212E-3</v>
      </c>
    </row>
    <row r="22" spans="1:25">
      <c r="A22" t="s">
        <v>161</v>
      </c>
      <c r="B22">
        <v>2</v>
      </c>
      <c r="H22" t="s">
        <v>167</v>
      </c>
      <c r="I22">
        <v>8.3146000000000004</v>
      </c>
      <c r="N22" s="3" t="s">
        <v>17</v>
      </c>
      <c r="O22" s="3">
        <v>0.15</v>
      </c>
      <c r="P22">
        <v>72.150000000000006</v>
      </c>
      <c r="Q22">
        <v>37046.233999999997</v>
      </c>
      <c r="R22">
        <v>299.62630000000001</v>
      </c>
      <c r="S22">
        <v>2.1955</v>
      </c>
      <c r="T22">
        <v>1.4363999999999999</v>
      </c>
      <c r="U22">
        <v>1.4871232911073259E-3</v>
      </c>
      <c r="V22">
        <f t="shared" si="0"/>
        <v>52215.597225934405</v>
      </c>
      <c r="W22">
        <f t="shared" si="1"/>
        <v>77.651030793766125</v>
      </c>
      <c r="X22">
        <f t="shared" si="2"/>
        <v>1.6280671499999999</v>
      </c>
      <c r="Y22">
        <f t="shared" si="3"/>
        <v>2.4211365782517242E-3</v>
      </c>
    </row>
    <row r="23" spans="1:25">
      <c r="A23" t="s">
        <v>162</v>
      </c>
      <c r="B23">
        <v>0.101325</v>
      </c>
      <c r="N23" s="3" t="s">
        <v>223</v>
      </c>
      <c r="O23" s="3">
        <v>0.19</v>
      </c>
      <c r="P23">
        <v>86.177000000000007</v>
      </c>
      <c r="Q23">
        <v>37046.233999999997</v>
      </c>
      <c r="R23">
        <v>299.62630000000001</v>
      </c>
      <c r="S23">
        <v>2.1955</v>
      </c>
      <c r="T23">
        <v>1.4363999999999999</v>
      </c>
      <c r="U23">
        <v>2.0642193830884056E-3</v>
      </c>
      <c r="V23">
        <f t="shared" si="0"/>
        <v>52215.597225934405</v>
      </c>
      <c r="W23">
        <f t="shared" si="1"/>
        <v>107.78444789331098</v>
      </c>
      <c r="X23">
        <f t="shared" si="2"/>
        <v>1.6280671499999999</v>
      </c>
      <c r="Y23">
        <f t="shared" si="3"/>
        <v>3.3606877679994984E-3</v>
      </c>
    </row>
    <row r="24" spans="1:25">
      <c r="B24" t="s">
        <v>42</v>
      </c>
      <c r="N24" s="3" t="s">
        <v>18</v>
      </c>
      <c r="O24" s="3">
        <v>0.39</v>
      </c>
      <c r="P24">
        <v>100.20399999999999</v>
      </c>
      <c r="Q24">
        <v>52093.006000000001</v>
      </c>
      <c r="R24">
        <v>254.56100000000001</v>
      </c>
      <c r="S24">
        <v>3.6962000000000002</v>
      </c>
      <c r="T24">
        <v>1.5929</v>
      </c>
      <c r="U24">
        <v>6.4636760761103114E-3</v>
      </c>
      <c r="V24">
        <f t="shared" si="0"/>
        <v>69729.540684102903</v>
      </c>
      <c r="W24">
        <f t="shared" si="1"/>
        <v>450.70916391799659</v>
      </c>
      <c r="X24">
        <f t="shared" si="2"/>
        <v>1.91557826</v>
      </c>
      <c r="Y24">
        <f>U24*O36</f>
        <v>1.7649330350520603E-2</v>
      </c>
    </row>
    <row r="25" spans="1:25">
      <c r="N25" s="3" t="s">
        <v>183</v>
      </c>
      <c r="O25" s="3">
        <v>19.54</v>
      </c>
      <c r="P25">
        <v>141.1</v>
      </c>
      <c r="U25">
        <v>0.88880017025199809</v>
      </c>
      <c r="V25">
        <f>O35</f>
        <v>105661.62156141244</v>
      </c>
      <c r="W25">
        <f t="shared" si="1"/>
        <v>93912.067232885573</v>
      </c>
      <c r="X25">
        <f>O36</f>
        <v>2.7305406617996173</v>
      </c>
      <c r="Y25">
        <f>U25*O36</f>
        <v>2.4269050050875034</v>
      </c>
    </row>
    <row r="26" spans="1:25">
      <c r="O26" t="s">
        <v>165</v>
      </c>
      <c r="P26" t="s">
        <v>166</v>
      </c>
    </row>
    <row r="27" spans="1:25">
      <c r="A27" s="11"/>
      <c r="B27" s="11" t="s">
        <v>141</v>
      </c>
      <c r="C27" s="11" t="s">
        <v>127</v>
      </c>
      <c r="D27" s="11" t="s">
        <v>128</v>
      </c>
      <c r="E27" s="11" t="s">
        <v>130</v>
      </c>
      <c r="F27" s="11" t="s">
        <v>129</v>
      </c>
      <c r="N27" s="6" t="s">
        <v>55</v>
      </c>
      <c r="O27" s="6">
        <v>0.101325</v>
      </c>
      <c r="P27">
        <f>O27*145.0377</f>
        <v>14.6959449525</v>
      </c>
      <c r="T27" t="s">
        <v>176</v>
      </c>
      <c r="U27" t="s">
        <v>177</v>
      </c>
      <c r="V27" t="s">
        <v>178</v>
      </c>
    </row>
    <row r="28" spans="1:25">
      <c r="A28" t="s">
        <v>114</v>
      </c>
      <c r="B28" t="s">
        <v>72</v>
      </c>
      <c r="C28" t="s">
        <v>81</v>
      </c>
      <c r="D28" t="s">
        <v>71</v>
      </c>
      <c r="E28" t="s">
        <v>42</v>
      </c>
      <c r="F28" t="s">
        <v>102</v>
      </c>
      <c r="G28" t="s">
        <v>107</v>
      </c>
      <c r="H28" t="s">
        <v>182</v>
      </c>
      <c r="I28" t="s">
        <v>184</v>
      </c>
      <c r="J28" t="s">
        <v>189</v>
      </c>
      <c r="T28">
        <f>SUM(W17:W25)</f>
        <v>96447.830751415502</v>
      </c>
      <c r="U28">
        <f>SUM(Y17:Y25)</f>
        <v>2.5446520825091721</v>
      </c>
      <c r="V28">
        <f>SUMPRODUCT(P17:P25,U17:U25)/SUM(U17:U25)</f>
        <v>129.12880078207826</v>
      </c>
    </row>
    <row r="29" spans="1:25">
      <c r="A29">
        <v>1</v>
      </c>
      <c r="B29">
        <v>5</v>
      </c>
      <c r="C29">
        <v>0.85337472329358677</v>
      </c>
      <c r="D29">
        <v>0.14662527670641323</v>
      </c>
      <c r="E29">
        <v>0.1526852123054093</v>
      </c>
      <c r="F29">
        <v>0.69267634998064198</v>
      </c>
      <c r="G29">
        <v>0.61350000000000005</v>
      </c>
      <c r="H29">
        <v>625.54114451895646</v>
      </c>
      <c r="I29">
        <f>IFERROR((I22*I20/I21*(C29*H49/(D29*D39*D49*V28)))*1000,IFERROR((I22*I20/I21*(C29*H49/(D29*D39*V28)))*1000,(I22*I20/I21*(C29*H49/(D29*V28)))*1000))</f>
        <v>623.90397427914593</v>
      </c>
      <c r="J29">
        <v>127.98146699975646</v>
      </c>
      <c r="O29" t="s">
        <v>8</v>
      </c>
      <c r="P29" t="s">
        <v>167</v>
      </c>
    </row>
    <row r="30" spans="1:25">
      <c r="E30">
        <v>4.2300074894592379E-2</v>
      </c>
      <c r="F30">
        <v>0.12198362216789682</v>
      </c>
      <c r="G30">
        <v>0.1103</v>
      </c>
      <c r="N30" t="s">
        <v>108</v>
      </c>
      <c r="O30">
        <f>'Miejsca Zerowe'!B9</f>
        <v>485</v>
      </c>
      <c r="P30">
        <f>(O30-273.15)*1.8+491.67</f>
        <v>873</v>
      </c>
    </row>
    <row r="31" spans="1:25">
      <c r="E31">
        <v>3.7649434092805294E-2</v>
      </c>
      <c r="F31">
        <v>7.0050869420626785E-2</v>
      </c>
      <c r="G31">
        <v>6.5299999999999997E-2</v>
      </c>
    </row>
    <row r="32" spans="1:25">
      <c r="E32">
        <v>2.9473160642942064E-3</v>
      </c>
      <c r="F32">
        <v>4.0636884030821711E-3</v>
      </c>
      <c r="G32">
        <v>3.9000000000000003E-3</v>
      </c>
    </row>
    <row r="33" spans="1:21" ht="15">
      <c r="E33">
        <v>3.562057042351264E-3</v>
      </c>
      <c r="F33">
        <v>4.4267920028626985E-3</v>
      </c>
      <c r="G33">
        <v>4.3E-3</v>
      </c>
      <c r="N33" t="s">
        <v>169</v>
      </c>
      <c r="O33">
        <v>0.780625974025974</v>
      </c>
    </row>
    <row r="34" spans="1:21">
      <c r="E34">
        <v>1.6821048376635015E-3</v>
      </c>
      <c r="F34">
        <v>1.4687110814473922E-3</v>
      </c>
      <c r="G34">
        <v>1.5E-3</v>
      </c>
      <c r="N34" t="s">
        <v>170</v>
      </c>
      <c r="O34" s="7">
        <v>141.1</v>
      </c>
      <c r="P34" t="s">
        <v>171</v>
      </c>
    </row>
    <row r="35" spans="1:21">
      <c r="E35">
        <v>2.2744641445864556E-3</v>
      </c>
      <c r="F35">
        <v>1.8356602588313013E-3</v>
      </c>
      <c r="G35">
        <v>1.9E-3</v>
      </c>
      <c r="N35" t="s">
        <v>172</v>
      </c>
      <c r="O35">
        <f>EXP(3.8405985*10^-3*O34-9.5638281*10^-4*(O34/O33)+261.80818/P30+7.3104464*10^-6*O34^2+10.753517)</f>
        <v>105661.62156141244</v>
      </c>
    </row>
    <row r="36" spans="1:21">
      <c r="E36">
        <v>6.4153578464418194E-3</v>
      </c>
      <c r="F36">
        <v>3.4678158373068007E-3</v>
      </c>
      <c r="G36">
        <v>3.9000000000000003E-3</v>
      </c>
      <c r="N36" t="s">
        <v>173</v>
      </c>
      <c r="O36">
        <f>0.03499274*O34-7.2725403*O33+2.232395*10^-4*P30-0.016322572*O34/O33+6.2256545</f>
        <v>2.7305406617996173</v>
      </c>
    </row>
    <row r="37" spans="1:21">
      <c r="E37">
        <v>0.75048400449835206</v>
      </c>
      <c r="F37">
        <v>0.10002648642702484</v>
      </c>
      <c r="G37">
        <v>0.19539999999999999</v>
      </c>
    </row>
    <row r="39" spans="1:21">
      <c r="A39">
        <v>2</v>
      </c>
      <c r="B39">
        <v>2</v>
      </c>
      <c r="C39">
        <v>0.19321812178811618</v>
      </c>
      <c r="D39">
        <v>0.80678187821188385</v>
      </c>
      <c r="E39">
        <v>5.2018345411958558E-2</v>
      </c>
      <c r="F39">
        <v>0.57301951218575864</v>
      </c>
      <c r="G39">
        <v>0.1526852123054093</v>
      </c>
      <c r="H39">
        <v>531.34846496386581</v>
      </c>
      <c r="I39">
        <f>IFERROR((I22*I20/I21*(C39*H49/(D39*D49*V28)))*1000,IFERROR((I22*I20/I21*(C39*H49/(D39*V28)))*1000,0))</f>
        <v>20.71260284875579</v>
      </c>
      <c r="J39">
        <v>112.61356851719928</v>
      </c>
    </row>
    <row r="40" spans="1:21">
      <c r="E40">
        <v>2.0361020142795724E-2</v>
      </c>
      <c r="F40">
        <v>0.13390655380580851</v>
      </c>
      <c r="G40">
        <v>4.2300074894592379E-2</v>
      </c>
    </row>
    <row r="41" spans="1:21">
      <c r="E41">
        <v>2.3871159911864649E-2</v>
      </c>
      <c r="F41">
        <v>9.5180590173535237E-2</v>
      </c>
      <c r="G41">
        <v>3.7649434092805294E-2</v>
      </c>
    </row>
    <row r="42" spans="1:21">
      <c r="E42">
        <v>2.1785814430817954E-3</v>
      </c>
      <c r="F42">
        <v>6.1571659262464181E-3</v>
      </c>
      <c r="G42">
        <v>2.9473160642942064E-3</v>
      </c>
    </row>
    <row r="43" spans="1:21">
      <c r="E43">
        <v>2.7557297891804282E-3</v>
      </c>
      <c r="F43">
        <v>6.9288748633006348E-3</v>
      </c>
      <c r="G43">
        <v>3.5620570423512635E-3</v>
      </c>
    </row>
    <row r="44" spans="1:21">
      <c r="E44">
        <v>1.4871232911073259E-3</v>
      </c>
      <c r="F44">
        <v>2.4962498924413E-3</v>
      </c>
      <c r="G44">
        <v>1.6821048376635015E-3</v>
      </c>
      <c r="R44" s="92" t="s">
        <v>190</v>
      </c>
      <c r="S44" s="92"/>
      <c r="T44" s="92"/>
      <c r="U44" s="92"/>
    </row>
    <row r="45" spans="1:21">
      <c r="E45">
        <v>2.0642193830884056E-3</v>
      </c>
      <c r="F45">
        <v>3.1523407226002613E-3</v>
      </c>
      <c r="G45">
        <v>2.2744641445864556E-3</v>
      </c>
      <c r="R45" t="s">
        <v>97</v>
      </c>
      <c r="S45">
        <v>1</v>
      </c>
    </row>
    <row r="46" spans="1:21">
      <c r="E46">
        <v>6.4636760761103114E-3</v>
      </c>
      <c r="F46">
        <v>6.213605175817232E-3</v>
      </c>
      <c r="G46">
        <v>6.4153578464418194E-3</v>
      </c>
      <c r="R46" t="s">
        <v>98</v>
      </c>
      <c r="S46">
        <f>-10.37*P30/P27</f>
        <v>-616.020951987844</v>
      </c>
      <c r="U46" t="s">
        <v>191</v>
      </c>
    </row>
    <row r="47" spans="1:21">
      <c r="E47">
        <v>0.88880017025199809</v>
      </c>
      <c r="F47">
        <v>0.1729451330866747</v>
      </c>
      <c r="G47">
        <v>0.75048400449835218</v>
      </c>
      <c r="R47" t="s">
        <v>179</v>
      </c>
      <c r="S47">
        <f>T28/P27</f>
        <v>6562.8873177704909</v>
      </c>
      <c r="U47">
        <v>605.22278998268837</v>
      </c>
    </row>
    <row r="48" spans="1:21">
      <c r="R48" t="s">
        <v>180</v>
      </c>
      <c r="S48">
        <f>-T28*U28/P27</f>
        <v>-16700.264880437713</v>
      </c>
      <c r="U48">
        <v>4.1514859771881731</v>
      </c>
    </row>
    <row r="49" spans="1:29">
      <c r="A49">
        <v>3</v>
      </c>
      <c r="B49">
        <v>0.101325</v>
      </c>
      <c r="C49">
        <v>1</v>
      </c>
      <c r="D49">
        <v>0</v>
      </c>
      <c r="E49">
        <v>5.2018345416308912E-2</v>
      </c>
      <c r="F49">
        <v>5.2018345411958558E-2</v>
      </c>
      <c r="G49">
        <v>5.2018345411958558E-2</v>
      </c>
      <c r="H49">
        <v>498.24175511489779</v>
      </c>
      <c r="I49">
        <f>IFERROR((I22*I20/I21*(C49*H49/(D49*V28)))*1000,0)</f>
        <v>0</v>
      </c>
      <c r="J49">
        <v>129.12880078207826</v>
      </c>
      <c r="U49">
        <v>6.6466760280154631</v>
      </c>
    </row>
    <row r="50" spans="1:29">
      <c r="E50">
        <v>2.0361020144278416E-2</v>
      </c>
      <c r="F50">
        <v>2.0361020142795724E-2</v>
      </c>
      <c r="G50">
        <v>2.0361020142795724E-2</v>
      </c>
      <c r="AC50" t="s">
        <v>259</v>
      </c>
    </row>
    <row r="51" spans="1:29">
      <c r="E51">
        <v>2.3871159913333957E-2</v>
      </c>
      <c r="F51">
        <v>2.3871159911864649E-2</v>
      </c>
      <c r="G51">
        <v>2.3871159911864649E-2</v>
      </c>
      <c r="U51" s="10" t="s">
        <v>181</v>
      </c>
      <c r="V51" s="10">
        <v>498.24175511489779</v>
      </c>
    </row>
    <row r="52" spans="1:29">
      <c r="E52">
        <v>2.1785814431954319E-3</v>
      </c>
      <c r="F52">
        <v>2.1785814430817954E-3</v>
      </c>
      <c r="G52">
        <v>2.1785814430817954E-3</v>
      </c>
    </row>
    <row r="53" spans="1:29">
      <c r="E53">
        <v>2.7557297893198349E-3</v>
      </c>
      <c r="F53">
        <v>2.7557297891804282E-3</v>
      </c>
      <c r="G53">
        <v>2.7557297891804282E-3</v>
      </c>
    </row>
    <row r="54" spans="1:29">
      <c r="E54">
        <v>1.4871232911666729E-3</v>
      </c>
      <c r="F54">
        <v>1.4871232911073259E-3</v>
      </c>
      <c r="G54">
        <v>1.4871232911073259E-3</v>
      </c>
    </row>
    <row r="55" spans="1:29">
      <c r="E55">
        <v>2.0642193831620003E-3</v>
      </c>
      <c r="F55">
        <v>2.0642193830884056E-3</v>
      </c>
      <c r="G55">
        <v>2.0642193830884056E-3</v>
      </c>
      <c r="V55">
        <v>0.25916896658390326</v>
      </c>
    </row>
    <row r="56" spans="1:29">
      <c r="E56">
        <v>6.4636760762646654E-3</v>
      </c>
      <c r="F56">
        <v>6.4636760761103114E-3</v>
      </c>
      <c r="G56">
        <v>6.4636760761103114E-3</v>
      </c>
    </row>
    <row r="57" spans="1:29">
      <c r="E57">
        <v>0.88880017024406921</v>
      </c>
      <c r="F57">
        <v>0.88880017025199809</v>
      </c>
      <c r="G57">
        <v>0.88880017025199809</v>
      </c>
    </row>
    <row r="60" spans="1:29">
      <c r="A60" t="s">
        <v>186</v>
      </c>
      <c r="F60">
        <f>D29*E36+D39*E46+D49*E56</f>
        <v>6.1554303442426872E-3</v>
      </c>
    </row>
    <row r="61" spans="1:29">
      <c r="A61">
        <f>I29+I39+I49</f>
        <v>644.61657712790168</v>
      </c>
    </row>
    <row r="63" spans="1:29">
      <c r="A63" t="s">
        <v>187</v>
      </c>
    </row>
    <row r="64" spans="1:29">
      <c r="A64">
        <f>IF(D29*D39*D49=0,IF(D29*D39=0,D29,D29*D39),D29*D39*D49)</f>
        <v>0.11829461613453725</v>
      </c>
    </row>
    <row r="66" spans="1:13">
      <c r="A66" t="s">
        <v>188</v>
      </c>
    </row>
    <row r="67" spans="1:13">
      <c r="A67">
        <f>H49*J29/(A64*H29*J49)</f>
        <v>6.6733396160630498</v>
      </c>
    </row>
    <row r="69" spans="1:13">
      <c r="A69" t="s">
        <v>192</v>
      </c>
      <c r="B69" t="s">
        <v>184</v>
      </c>
      <c r="C69" t="s">
        <v>121</v>
      </c>
      <c r="D69" t="s">
        <v>193</v>
      </c>
    </row>
    <row r="70" spans="1:13">
      <c r="A70">
        <v>8</v>
      </c>
      <c r="B70">
        <v>364.68815906546342</v>
      </c>
      <c r="C70">
        <v>0.26226353490518961</v>
      </c>
      <c r="D70">
        <v>3.3739208597264314</v>
      </c>
      <c r="E70">
        <v>0.76556025415816009</v>
      </c>
      <c r="J70">
        <v>8</v>
      </c>
      <c r="K70">
        <v>93.307708655540239</v>
      </c>
      <c r="L70">
        <v>0.67966631670245214</v>
      </c>
      <c r="M70">
        <v>1.732121172351933</v>
      </c>
    </row>
    <row r="71" spans="1:13">
      <c r="A71">
        <v>7.9</v>
      </c>
      <c r="B71">
        <v>367.80795830514711</v>
      </c>
      <c r="C71">
        <v>0.25985531946230589</v>
      </c>
      <c r="D71">
        <v>3.3917122007977811</v>
      </c>
      <c r="E71">
        <v>0.76766791062597362</v>
      </c>
      <c r="J71">
        <v>7.9</v>
      </c>
      <c r="K71">
        <v>95.363160204806078</v>
      </c>
      <c r="L71">
        <v>0.67404811696862477</v>
      </c>
      <c r="M71">
        <v>1.3892692180338169</v>
      </c>
    </row>
    <row r="72" spans="1:13">
      <c r="A72">
        <v>7.8000000000000007</v>
      </c>
      <c r="B72">
        <v>370.9167205054614</v>
      </c>
      <c r="C72">
        <v>0.25747930689316512</v>
      </c>
      <c r="D72">
        <v>3.4229851082228331</v>
      </c>
      <c r="E72">
        <v>0.76980110531015744</v>
      </c>
      <c r="J72">
        <v>7.8000000000000007</v>
      </c>
      <c r="K72">
        <v>97.412317164607956</v>
      </c>
      <c r="L72">
        <v>0.66849490103058673</v>
      </c>
      <c r="M72">
        <v>1.4007889478217086</v>
      </c>
    </row>
    <row r="73" spans="1:13">
      <c r="A73">
        <v>7.7000000000000011</v>
      </c>
      <c r="B73">
        <v>374.01588450139576</v>
      </c>
      <c r="C73">
        <v>0.2551339760081423</v>
      </c>
      <c r="D73">
        <v>3.4544084594451596</v>
      </c>
      <c r="E73">
        <v>0.77195993459430934</v>
      </c>
      <c r="J73">
        <v>7.7000000000000011</v>
      </c>
      <c r="K73">
        <v>99.455635077915474</v>
      </c>
      <c r="L73">
        <v>0.66300439525891952</v>
      </c>
      <c r="M73">
        <v>1.4123645136784928</v>
      </c>
    </row>
    <row r="74" spans="1:13">
      <c r="A74">
        <v>7.6000000000000014</v>
      </c>
      <c r="B74">
        <v>377.1068958725935</v>
      </c>
      <c r="C74">
        <v>0.25281786132627776</v>
      </c>
      <c r="D74">
        <v>3.4859953319281316</v>
      </c>
      <c r="E74">
        <v>0.77414453582862186</v>
      </c>
      <c r="J74">
        <v>7.6000000000000014</v>
      </c>
      <c r="K74">
        <v>101.49357929904637</v>
      </c>
      <c r="L74">
        <v>0.65757436951750181</v>
      </c>
      <c r="M74">
        <v>1.4239988055677373</v>
      </c>
    </row>
    <row r="75" spans="1:13">
      <c r="A75">
        <v>7.5000000000000018</v>
      </c>
      <c r="B75">
        <v>380.19121288212699</v>
      </c>
      <c r="C75">
        <v>0.25052954598625582</v>
      </c>
      <c r="D75">
        <v>3.5177591786389018</v>
      </c>
      <c r="E75">
        <v>0.7763550938640551</v>
      </c>
      <c r="J75">
        <v>7.5000000000000018</v>
      </c>
      <c r="K75">
        <v>103.52661747150998</v>
      </c>
      <c r="L75">
        <v>0.65220265557033941</v>
      </c>
      <c r="M75">
        <v>1.4356948184951444</v>
      </c>
    </row>
    <row r="76" spans="1:13">
      <c r="A76">
        <v>7.4000000000000021</v>
      </c>
      <c r="B76">
        <v>383.27030811513356</v>
      </c>
      <c r="C76">
        <v>0.24826766001377196</v>
      </c>
      <c r="D76">
        <v>3.5497138871260936</v>
      </c>
      <c r="E76">
        <v>0.77859183568936896</v>
      </c>
      <c r="J76">
        <v>7.4000000000000021</v>
      </c>
      <c r="K76">
        <v>105.55522055493401</v>
      </c>
      <c r="L76">
        <v>0.64688714229884725</v>
      </c>
      <c r="M76">
        <v>1.447455637900197</v>
      </c>
    </row>
    <row r="77" spans="1:13">
      <c r="A77">
        <v>7.3000000000000025</v>
      </c>
      <c r="B77">
        <v>386.34567139720269</v>
      </c>
      <c r="C77">
        <v>0.24603087660923637</v>
      </c>
      <c r="D77">
        <v>3.5818737892541694</v>
      </c>
      <c r="E77">
        <v>0.78085503243645782</v>
      </c>
      <c r="J77">
        <v>7.3000000000000025</v>
      </c>
      <c r="K77">
        <v>107.57988058915211</v>
      </c>
      <c r="L77">
        <v>0.64162572794063966</v>
      </c>
      <c r="M77">
        <v>1.4592844987367497</v>
      </c>
    </row>
    <row r="78" spans="1:13">
      <c r="A78">
        <v>7.2000000000000028</v>
      </c>
      <c r="B78">
        <v>389.41882180567353</v>
      </c>
      <c r="C78">
        <v>0.24381790450020577</v>
      </c>
      <c r="D78">
        <v>3.6142537649180553</v>
      </c>
      <c r="E78">
        <v>0.78314499630199097</v>
      </c>
      <c r="J78">
        <v>7.2000000000000028</v>
      </c>
      <c r="K78">
        <v>109.60104178636379</v>
      </c>
      <c r="L78">
        <v>0.63641649680718315</v>
      </c>
      <c r="M78">
        <v>1.4711846287565313</v>
      </c>
    </row>
    <row r="79" spans="1:13">
      <c r="A79">
        <v>7.1000000000000032</v>
      </c>
      <c r="B79">
        <v>392.49130047105791</v>
      </c>
      <c r="C79">
        <v>0.24162749019246471</v>
      </c>
      <c r="D79">
        <v>3.6468692128657016</v>
      </c>
      <c r="E79">
        <v>0.78546208587700517</v>
      </c>
      <c r="J79">
        <v>7.1000000000000032</v>
      </c>
      <c r="K79">
        <v>111.61921206204462</v>
      </c>
      <c r="L79">
        <v>0.6312574287708318</v>
      </c>
      <c r="M79">
        <v>1.4831593948396988</v>
      </c>
    </row>
    <row r="80" spans="1:13">
      <c r="A80">
        <v>7.0000000000000036</v>
      </c>
      <c r="B80">
        <v>395.56468263899967</v>
      </c>
      <c r="C80">
        <v>0.23945841094740331</v>
      </c>
      <c r="D80">
        <v>3.6797361498441918</v>
      </c>
      <c r="E80">
        <v>0.78780670279562504</v>
      </c>
      <c r="J80">
        <v>7.0000000000000036</v>
      </c>
      <c r="K80">
        <v>113.63488657589667</v>
      </c>
      <c r="L80">
        <v>0.62614659684485807</v>
      </c>
      <c r="M80">
        <v>1.4952123894659703</v>
      </c>
    </row>
    <row r="81" spans="1:13">
      <c r="A81">
        <v>6.9000000000000039</v>
      </c>
      <c r="B81">
        <v>398.64058074487912</v>
      </c>
      <c r="C81">
        <v>0.237309472392394</v>
      </c>
      <c r="D81">
        <v>3.7128712529771253</v>
      </c>
      <c r="E81">
        <v>0.7901792933142564</v>
      </c>
      <c r="J81">
        <v>6.9000000000000039</v>
      </c>
      <c r="K81">
        <v>115.64856958021045</v>
      </c>
      <c r="L81">
        <v>0.62108210941498254</v>
      </c>
      <c r="M81">
        <v>1.5073472849092384</v>
      </c>
    </row>
    <row r="82" spans="1:13">
      <c r="A82">
        <v>6.8000000000000043</v>
      </c>
      <c r="B82">
        <v>401.72064581623317</v>
      </c>
      <c r="C82">
        <v>0.23517950737376173</v>
      </c>
      <c r="D82">
        <v>3.7462918933707661</v>
      </c>
      <c r="E82">
        <v>0.79258034929013266</v>
      </c>
      <c r="J82">
        <v>6.8000000000000043</v>
      </c>
      <c r="K82">
        <v>117.66077573876092</v>
      </c>
      <c r="L82">
        <v>0.61606210620969681</v>
      </c>
      <c r="M82">
        <v>1.5195679026350335</v>
      </c>
    </row>
    <row r="83" spans="1:13">
      <c r="A83">
        <v>6.7000000000000046</v>
      </c>
      <c r="B83">
        <v>404.80658818344796</v>
      </c>
      <c r="C83">
        <v>0.23306736490653462</v>
      </c>
      <c r="D83">
        <v>3.7800162957314427</v>
      </c>
      <c r="E83">
        <v>0.79501040779070475</v>
      </c>
      <c r="J83">
        <v>6.7000000000000046</v>
      </c>
      <c r="K83">
        <v>119.67204873279883</v>
      </c>
      <c r="L83">
        <v>0.61108471202211323</v>
      </c>
      <c r="M83">
        <v>1.5318782794299268</v>
      </c>
    </row>
    <row r="84" spans="1:13">
      <c r="A84">
        <v>6.600000000000005</v>
      </c>
      <c r="B84">
        <v>407.90015984639024</v>
      </c>
      <c r="C84">
        <v>0.23097191961626057</v>
      </c>
      <c r="D84">
        <v>3.8140634727398424</v>
      </c>
      <c r="E84">
        <v>0.79747005421393147</v>
      </c>
      <c r="J84">
        <v>6.600000000000005</v>
      </c>
      <c r="K84">
        <v>121.68289054983404</v>
      </c>
      <c r="L84">
        <v>0.60614821045460399</v>
      </c>
      <c r="M84">
        <v>1.5442825080751188</v>
      </c>
    </row>
    <row r="85" spans="1:13">
      <c r="A85">
        <v>6.5000000000000053</v>
      </c>
      <c r="B85">
        <v>411.00317673119241</v>
      </c>
      <c r="C85">
        <v>0.22889206043208946</v>
      </c>
      <c r="D85">
        <v>3.8484533693429932</v>
      </c>
      <c r="E85">
        <v>0.79995992185902565</v>
      </c>
      <c r="J85">
        <v>6.5000000000000053</v>
      </c>
      <c r="K85">
        <v>123.69387693485032</v>
      </c>
      <c r="L85">
        <v>0.60125075916284609</v>
      </c>
      <c r="M85">
        <v>1.5567848874225536</v>
      </c>
    </row>
    <row r="86" spans="1:13">
      <c r="A86">
        <v>6.4000000000000057</v>
      </c>
      <c r="B86">
        <v>414.11751536258703</v>
      </c>
      <c r="C86">
        <v>0.22682669296687089</v>
      </c>
      <c r="D86">
        <v>3.8832068991702235</v>
      </c>
      <c r="E86">
        <v>0.80248069374698172</v>
      </c>
      <c r="J86">
        <v>6.4000000000000057</v>
      </c>
      <c r="K86">
        <v>125.70557890168422</v>
      </c>
      <c r="L86">
        <v>0.5963905840254714</v>
      </c>
      <c r="M86">
        <v>1.5693900334801429</v>
      </c>
    </row>
    <row r="87" spans="1:13">
      <c r="A87">
        <v>6.300000000000006</v>
      </c>
      <c r="B87">
        <v>417.24514488341731</v>
      </c>
      <c r="C87">
        <v>0.22477472407875337</v>
      </c>
      <c r="D87">
        <v>3.9183461824708758</v>
      </c>
      <c r="E87">
        <v>0.80503310390935456</v>
      </c>
      <c r="J87">
        <v>6.300000000000006</v>
      </c>
      <c r="K87">
        <v>127.71858578391009</v>
      </c>
      <c r="L87">
        <v>0.59156592249866902</v>
      </c>
      <c r="M87">
        <v>1.5821027204237079</v>
      </c>
    </row>
    <row r="88" spans="1:13">
      <c r="A88">
        <v>6.2000000000000064</v>
      </c>
      <c r="B88">
        <v>420.38809664870587</v>
      </c>
      <c r="C88">
        <v>0.22273507870094914</v>
      </c>
      <c r="D88">
        <v>3.9538944274192271</v>
      </c>
      <c r="E88">
        <v>0.80761793951874083</v>
      </c>
      <c r="J88">
        <v>6.2000000000000064</v>
      </c>
      <c r="K88">
        <v>129.73350714486594</v>
      </c>
      <c r="L88">
        <v>0.58677501963013368</v>
      </c>
      <c r="M88">
        <v>1.5949279629829098</v>
      </c>
    </row>
    <row r="89" spans="1:13">
      <c r="A89">
        <v>6.1000000000000068</v>
      </c>
      <c r="B89">
        <v>423.54849921423698</v>
      </c>
      <c r="C89">
        <v>0.22070668351254089</v>
      </c>
      <c r="D89">
        <v>3.9898761413153312</v>
      </c>
      <c r="E89">
        <v>0.81023604223614198</v>
      </c>
      <c r="J89">
        <v>6.1000000000000068</v>
      </c>
      <c r="K89">
        <v>131.7509939412914</v>
      </c>
      <c r="L89">
        <v>0.58201607927450938</v>
      </c>
      <c r="M89">
        <v>1.6078710976146029</v>
      </c>
    </row>
    <row r="90" spans="1:13">
      <c r="A90">
        <v>6.0000000000000071</v>
      </c>
      <c r="B90">
        <v>426.72858093500156</v>
      </c>
      <c r="C90">
        <v>0.21868846761103414</v>
      </c>
      <c r="D90">
        <v>4.0263172474657196</v>
      </c>
      <c r="E90">
        <v>0.81288831036613263</v>
      </c>
      <c r="J90">
        <v>6.0000000000000071</v>
      </c>
      <c r="K90">
        <v>133.77166042419563</v>
      </c>
      <c r="L90">
        <v>0.57728744821493905</v>
      </c>
      <c r="M90">
        <v>1.6209376098272876</v>
      </c>
    </row>
    <row r="91" spans="1:13">
      <c r="A91">
        <v>5.9000000000000075</v>
      </c>
      <c r="B91">
        <v>429.93068026908145</v>
      </c>
      <c r="C91">
        <v>0.21667935964155641</v>
      </c>
      <c r="D91">
        <v>4.0632451979470323</v>
      </c>
      <c r="E91">
        <v>0.81557570101253674</v>
      </c>
      <c r="J91">
        <v>5.9000000000000075</v>
      </c>
      <c r="K91">
        <v>135.7962134810908</v>
      </c>
      <c r="L91">
        <v>0.57258731376563221</v>
      </c>
      <c r="M91">
        <v>1.634133302239138</v>
      </c>
    </row>
    <row r="92" spans="1:13">
      <c r="A92">
        <v>5.8000000000000078</v>
      </c>
      <c r="B92">
        <v>433.1572500706003</v>
      </c>
      <c r="C92">
        <v>0.2146782882265317</v>
      </c>
      <c r="D92">
        <v>4.1006890625691996</v>
      </c>
      <c r="E92">
        <v>0.81829923201085297</v>
      </c>
      <c r="J92">
        <v>5.8000000000000078</v>
      </c>
      <c r="K92">
        <v>137.82536566194062</v>
      </c>
      <c r="L92">
        <v>0.56791391014403014</v>
      </c>
      <c r="M92">
        <v>1.6474644468341111</v>
      </c>
    </row>
    <row r="93" spans="1:13">
      <c r="A93">
        <v>5.7000000000000082</v>
      </c>
      <c r="B93">
        <v>436.41089927245298</v>
      </c>
      <c r="C93">
        <v>0.21268416492410647</v>
      </c>
      <c r="D93">
        <v>4.1386798691577571</v>
      </c>
      <c r="E93">
        <v>0.8210599860251897</v>
      </c>
      <c r="J93">
        <v>5.7000000000000082</v>
      </c>
      <c r="K93">
        <v>139.85986178593032</v>
      </c>
      <c r="L93">
        <v>0.56326545773936465</v>
      </c>
      <c r="M93">
        <v>1.6609375994969722</v>
      </c>
    </row>
    <row r="94" spans="1:13">
      <c r="A94">
        <v>5.6000000000000085</v>
      </c>
      <c r="B94">
        <v>439.69436119123452</v>
      </c>
      <c r="C94">
        <v>0.21069590298325011</v>
      </c>
      <c r="D94">
        <v>4.1772505186478863</v>
      </c>
      <c r="E94">
        <v>0.82385911083865182</v>
      </c>
      <c r="J94">
        <v>5.6000000000000085</v>
      </c>
      <c r="K94">
        <v>141.90048197691678</v>
      </c>
      <c r="L94">
        <v>0.55864015838319514</v>
      </c>
      <c r="M94">
        <v>1.6745597079432664</v>
      </c>
    </row>
    <row r="95" spans="1:13">
      <c r="A95">
        <v>5.5000000000000089</v>
      </c>
      <c r="B95">
        <v>443.01054042105966</v>
      </c>
      <c r="C95">
        <v>0.20871239882367351</v>
      </c>
      <c r="D95">
        <v>4.2164360935664718</v>
      </c>
      <c r="E95">
        <v>0.82669782378587531</v>
      </c>
      <c r="J95">
        <v>5.5000000000000089</v>
      </c>
      <c r="K95">
        <v>143.94804496857722</v>
      </c>
      <c r="L95">
        <v>0.55403619039735641</v>
      </c>
      <c r="M95">
        <v>1.6883381459348796</v>
      </c>
    </row>
    <row r="96" spans="1:13">
      <c r="A96">
        <v>5.4000000000000092</v>
      </c>
      <c r="B96">
        <v>446.36252164455487</v>
      </c>
      <c r="C96">
        <v>0.20673253256690735</v>
      </c>
      <c r="D96">
        <v>4.2562740763041713</v>
      </c>
      <c r="E96">
        <v>0.8295774144000313</v>
      </c>
      <c r="J96">
        <v>5.4000000000000092</v>
      </c>
      <c r="K96">
        <v>146.00342821174519</v>
      </c>
      <c r="L96">
        <v>0.54945166684275937</v>
      </c>
      <c r="M96">
        <v>1.7022808052346101</v>
      </c>
    </row>
    <row r="97" spans="1:13">
      <c r="A97">
        <v>5.3000000000000096</v>
      </c>
      <c r="B97">
        <v>449.75358864436276</v>
      </c>
      <c r="C97">
        <v>0.20475516438360131</v>
      </c>
      <c r="D97">
        <v>4.2968045633070613</v>
      </c>
      <c r="E97">
        <v>0.83249924761370275</v>
      </c>
      <c r="J97">
        <v>5.3000000000000096</v>
      </c>
      <c r="K97">
        <v>148.06750184719172</v>
      </c>
      <c r="L97">
        <v>0.54488478518711136</v>
      </c>
      <c r="M97">
        <v>1.7163959655226328</v>
      </c>
    </row>
    <row r="98" spans="1:13">
      <c r="A98">
        <v>5.2000000000000099</v>
      </c>
      <c r="B98">
        <v>453.1872373472408</v>
      </c>
      <c r="C98">
        <v>0.20277913425163901</v>
      </c>
      <c r="D98">
        <v>4.3380704650318735</v>
      </c>
      <c r="E98">
        <v>0.83546476641422773</v>
      </c>
      <c r="J98">
        <v>5.2000000000000099</v>
      </c>
      <c r="K98">
        <v>150.14124469956775</v>
      </c>
      <c r="L98">
        <v>0.54033357339052102</v>
      </c>
      <c r="M98">
        <v>1.7306924591263262</v>
      </c>
    </row>
    <row r="99" spans="1:13">
      <c r="A99">
        <v>5.1000000000000103</v>
      </c>
      <c r="B99">
        <v>456.66723394792734</v>
      </c>
      <c r="C99">
        <v>0.20080324256157583</v>
      </c>
      <c r="D99">
        <v>4.3801180220166147</v>
      </c>
      <c r="E99">
        <v>0.83847549828688284</v>
      </c>
      <c r="J99">
        <v>5.1000000000000103</v>
      </c>
      <c r="K99">
        <v>152.22566944104076</v>
      </c>
      <c r="L99">
        <v>0.53579606083546971</v>
      </c>
      <c r="M99">
        <v>1.7451798552038043</v>
      </c>
    </row>
    <row r="100" spans="1:13">
      <c r="A100">
        <v>5.0000000000000107</v>
      </c>
      <c r="B100">
        <v>460.19758823424934</v>
      </c>
      <c r="C100">
        <v>0.19882626950499321</v>
      </c>
      <c r="D100">
        <v>4.4229968267452522</v>
      </c>
      <c r="E100">
        <v>0.84153305435574333</v>
      </c>
      <c r="J100">
        <v>5.0000000000000107</v>
      </c>
      <c r="K100">
        <v>154.32184919519719</v>
      </c>
      <c r="L100">
        <v>0.53127022393768908</v>
      </c>
      <c r="M100">
        <v>1.75986830540966</v>
      </c>
    </row>
    <row r="101" spans="1:13">
      <c r="A101">
        <v>4.900000000000011</v>
      </c>
      <c r="B101">
        <v>463.78262125319424</v>
      </c>
      <c r="C101">
        <v>0.19684695350895326</v>
      </c>
      <c r="D101">
        <v>4.4667603342636548</v>
      </c>
      <c r="E101">
        <v>0.84463913625182874</v>
      </c>
      <c r="J101">
        <v>4.900000000000011</v>
      </c>
      <c r="K101">
        <v>156.43092328096975</v>
      </c>
      <c r="L101">
        <v>0.52675397902398591</v>
      </c>
      <c r="M101">
        <v>1.7747686811103289</v>
      </c>
    </row>
    <row r="102" spans="1:13">
      <c r="A102">
        <v>4.8000000000000114</v>
      </c>
      <c r="B102">
        <v>467.42698993944549</v>
      </c>
      <c r="C102">
        <v>0.1948639903108117</v>
      </c>
      <c r="D102">
        <v>4.5114662926893576</v>
      </c>
      <c r="E102">
        <v>0.84779553917709793</v>
      </c>
      <c r="J102">
        <v>4.8000000000000114</v>
      </c>
      <c r="K102">
        <v>158.55410355682619</v>
      </c>
      <c r="L102">
        <v>0.52224517466111586</v>
      </c>
      <c r="M102">
        <v>1.7898926424446475</v>
      </c>
    </row>
    <row r="103" spans="1:13">
      <c r="A103">
        <v>4.7000000000000117</v>
      </c>
      <c r="B103">
        <v>471.13572621902358</v>
      </c>
      <c r="C103">
        <v>0.19287602713243282</v>
      </c>
      <c r="D103">
        <v>4.5571771911980203</v>
      </c>
      <c r="E103">
        <v>0.85100415580391831</v>
      </c>
      <c r="J103">
        <v>4.7000000000000117</v>
      </c>
      <c r="K103">
        <v>160.69268144260781</v>
      </c>
      <c r="L103">
        <v>0.51774158336533016</v>
      </c>
      <c r="M103">
        <v>1.8052527152440101</v>
      </c>
    </row>
    <row r="104" spans="1:13">
      <c r="A104">
        <v>4.6000000000000121</v>
      </c>
      <c r="B104">
        <v>474.91427150231328</v>
      </c>
      <c r="C104">
        <v>0.19088166036062101</v>
      </c>
      <c r="D104">
        <v>4.6039607200480965</v>
      </c>
      <c r="E104">
        <v>0.85426697916165995</v>
      </c>
      <c r="J104">
        <v>4.6000000000000112</v>
      </c>
      <c r="K104">
        <v>162.84803570800463</v>
      </c>
      <c r="L104">
        <v>0.51324089261313777</v>
      </c>
      <c r="M104">
        <v>1.8208623768799441</v>
      </c>
    </row>
    <row r="105" spans="1:13">
      <c r="A105">
        <v>4.5000000000000124</v>
      </c>
      <c r="B105">
        <v>478.76856990744693</v>
      </c>
      <c r="C105">
        <v>0.18887941126932792</v>
      </c>
      <c r="D105">
        <v>4.6518906677577574</v>
      </c>
      <c r="E105">
        <v>0.85758611059073031</v>
      </c>
      <c r="J105">
        <v>4.5000000000000115</v>
      </c>
      <c r="K105">
        <v>165.02164113037347</v>
      </c>
      <c r="L105">
        <v>0.50874069506321673</v>
      </c>
      <c r="M105">
        <v>1.8367361522769801</v>
      </c>
    </row>
    <row r="106" spans="1:13">
      <c r="A106">
        <v>4.4000000000000128</v>
      </c>
      <c r="B106">
        <v>482.70506084485214</v>
      </c>
      <c r="C106">
        <v>0.18686774508372098</v>
      </c>
      <c r="D106">
        <v>4.7010472324499304</v>
      </c>
      <c r="E106">
        <v>0.8609637568666475</v>
      </c>
      <c r="J106">
        <v>4.400000000000011</v>
      </c>
      <c r="K106">
        <v>167.21507814077191</v>
      </c>
      <c r="L106">
        <v>0.50423847788701581</v>
      </c>
      <c r="M106">
        <v>1.8528897215296711</v>
      </c>
    </row>
    <row r="107" spans="1:13">
      <c r="A107">
        <v>4.3000000000000131</v>
      </c>
      <c r="B107">
        <v>486.73079283209222</v>
      </c>
      <c r="C107">
        <v>0.18484504317976808</v>
      </c>
      <c r="D107">
        <v>4.7515180079063333</v>
      </c>
      <c r="E107">
        <v>0.86440223800686034</v>
      </c>
      <c r="J107">
        <v>4.3000000000000114</v>
      </c>
      <c r="K107">
        <v>169.43004359628213</v>
      </c>
      <c r="L107">
        <v>0.49973161109100106</v>
      </c>
      <c r="M107">
        <v>1.8693400408018614</v>
      </c>
    </row>
    <row r="108" spans="1:13">
      <c r="A108">
        <v>4.2000000000000135</v>
      </c>
      <c r="B108">
        <v>490.85348947842533</v>
      </c>
      <c r="C108">
        <v>0.18280959824042309</v>
      </c>
      <c r="D108">
        <v>4.8033989279559215</v>
      </c>
      <c r="E108">
        <v>0.86790398864030149</v>
      </c>
      <c r="J108">
        <v>4.2000000000000108</v>
      </c>
      <c r="K108">
        <v>171.66836283956331</v>
      </c>
      <c r="L108">
        <v>0.49521733469636903</v>
      </c>
      <c r="M108">
        <v>1.8861054784722242</v>
      </c>
    </row>
    <row r="109" spans="1:13">
      <c r="A109">
        <v>4.1000000000000139</v>
      </c>
      <c r="B109">
        <v>495.08164173489416</v>
      </c>
      <c r="C109">
        <v>0.18075960229852933</v>
      </c>
      <c r="D109">
        <v>4.8567953155868464</v>
      </c>
      <c r="E109">
        <v>0.87147156136330717</v>
      </c>
      <c r="J109">
        <v>4.1000000000000112</v>
      </c>
      <c r="K109">
        <v>173.93200323363106</v>
      </c>
      <c r="L109">
        <v>0.49069274462171852</v>
      </c>
      <c r="M109">
        <v>1.9032059688293674</v>
      </c>
    </row>
    <row r="110" spans="1:13">
      <c r="A110">
        <v>4.0000000000000142</v>
      </c>
      <c r="B110">
        <v>499.4246124340292</v>
      </c>
      <c r="C110">
        <v>0.17869313501608303</v>
      </c>
      <c r="D110">
        <v>4.9118231287706511</v>
      </c>
      <c r="E110">
        <v>0.87510762581868917</v>
      </c>
      <c r="J110">
        <v>4.0000000000000107</v>
      </c>
      <c r="K110">
        <v>176.22308939322301</v>
      </c>
      <c r="L110">
        <v>0.48615477709003979</v>
      </c>
      <c r="M110">
        <v>1.9206631860380556</v>
      </c>
    </row>
    <row r="111" spans="1:13">
      <c r="A111">
        <v>3.9000000000000141</v>
      </c>
      <c r="B111">
        <v>503.89275162475406</v>
      </c>
      <c r="C111">
        <v>0.1766081521103558</v>
      </c>
      <c r="D111">
        <v>4.9686103270763722</v>
      </c>
      <c r="E111">
        <v>0.87881496905436962</v>
      </c>
      <c r="J111">
        <v>3.9000000000000106</v>
      </c>
      <c r="K111">
        <v>178.54392037294846</v>
      </c>
      <c r="L111">
        <v>0.48160019135256349</v>
      </c>
      <c r="M111">
        <v>1.9385007415880398</v>
      </c>
    </row>
    <row r="112" spans="1:13">
      <c r="A112">
        <v>3.800000000000014</v>
      </c>
      <c r="B112">
        <v>508.497589562168</v>
      </c>
      <c r="C112">
        <v>0.17450245213023688</v>
      </c>
      <c r="D112">
        <v>5.0272989229749543</v>
      </c>
      <c r="E112">
        <v>0.88259649749915969</v>
      </c>
      <c r="J112">
        <v>3.8000000000000105</v>
      </c>
      <c r="K112">
        <v>180.89698912086641</v>
      </c>
      <c r="L112">
        <v>0.47702555048743522</v>
      </c>
      <c r="M112">
        <v>1.956744409047346</v>
      </c>
    </row>
    <row r="113" spans="1:13">
      <c r="A113">
        <v>3.7000000000000139</v>
      </c>
      <c r="B113">
        <v>513.25193878494304</v>
      </c>
      <c r="C113">
        <v>0.17237368324261124</v>
      </c>
      <c r="D113">
        <v>5.0880465532496206</v>
      </c>
      <c r="E113">
        <v>0.88645522560020562</v>
      </c>
      <c r="J113">
        <v>3.7000000000000104</v>
      </c>
      <c r="K113">
        <v>183.28500456432039</v>
      </c>
      <c r="L113">
        <v>0.47242719998948624</v>
      </c>
      <c r="M113">
        <v>1.9754223806776074</v>
      </c>
    </row>
    <row r="114" spans="1:13">
      <c r="A114">
        <v>3.6000000000000139</v>
      </c>
      <c r="B114">
        <v>518.17015302772745</v>
      </c>
      <c r="C114">
        <v>0.17021930213981198</v>
      </c>
      <c r="D114">
        <v>5.1510290965932146</v>
      </c>
      <c r="E114">
        <v>0.89039427317403064</v>
      </c>
      <c r="J114">
        <v>3.6000000000000103</v>
      </c>
      <c r="K114">
        <v>185.71091676643871</v>
      </c>
      <c r="L114">
        <v>0.46780124381683841</v>
      </c>
      <c r="M114">
        <v>1.994565561375222</v>
      </c>
    </row>
    <row r="115" spans="1:13">
      <c r="A115">
        <v>3.5000000000000138</v>
      </c>
      <c r="B115">
        <v>523.26836325918077</v>
      </c>
      <c r="C115">
        <v>0.16803655254911556</v>
      </c>
      <c r="D115">
        <v>5.2164435569751495</v>
      </c>
      <c r="E115">
        <v>0.89441685233780199</v>
      </c>
      <c r="J115">
        <v>3.5000000000000102</v>
      </c>
      <c r="K115">
        <v>188.17794567971487</v>
      </c>
      <c r="L115">
        <v>0.46314351749852162</v>
      </c>
      <c r="M115">
        <v>2.0142079065187954</v>
      </c>
    </row>
    <row r="116" spans="1:13">
      <c r="A116">
        <v>3.4000000000000137</v>
      </c>
      <c r="B116">
        <v>528.5647785371807</v>
      </c>
      <c r="C116">
        <v>0.16582243422675641</v>
      </c>
      <c r="D116">
        <v>5.2845114734006451</v>
      </c>
      <c r="E116">
        <v>0.89852625020550447</v>
      </c>
      <c r="J116">
        <v>3.4000000000000101</v>
      </c>
      <c r="K116">
        <v>190.68961413214114</v>
      </c>
      <c r="L116">
        <v>0.45844955783185537</v>
      </c>
      <c r="M116">
        <v>2.03438681168908</v>
      </c>
    </row>
    <row r="117" spans="1:13">
      <c r="A117">
        <v>3.3000000000000136</v>
      </c>
      <c r="B117">
        <v>534.08005124854287</v>
      </c>
      <c r="C117">
        <v>0.16357366631442713</v>
      </c>
      <c r="D117">
        <v>5.3554830808985709</v>
      </c>
      <c r="E117">
        <v>0.90272580430825389</v>
      </c>
      <c r="J117">
        <v>3.30000000000001</v>
      </c>
      <c r="K117">
        <v>193.24978581707893</v>
      </c>
      <c r="L117">
        <v>0.45371456860544856</v>
      </c>
      <c r="M117">
        <v>2.0551435639556956</v>
      </c>
    </row>
    <row r="118" spans="1:13">
      <c r="A118">
        <v>3.2000000000000135</v>
      </c>
      <c r="B118">
        <v>539.83771067356042</v>
      </c>
      <c r="C118">
        <v>0.16128664774124482</v>
      </c>
      <c r="D118">
        <v>5.4296422724207218</v>
      </c>
      <c r="E118">
        <v>0.90701886754560723</v>
      </c>
      <c r="J118">
        <v>3.2000000000000099</v>
      </c>
      <c r="K118">
        <v>195.86270922819998</v>
      </c>
      <c r="L118">
        <v>0.44893338166859753</v>
      </c>
      <c r="M118">
        <v>2.0765238665953656</v>
      </c>
    </row>
    <row r="119" spans="1:13">
      <c r="A119">
        <v>3.1000000000000134</v>
      </c>
      <c r="B119">
        <v>545.86476714851256</v>
      </c>
      <c r="C119">
        <v>0.15895738825666456</v>
      </c>
      <c r="D119">
        <v>5.5073132213331304</v>
      </c>
      <c r="E119">
        <v>0.91140876529912651</v>
      </c>
      <c r="J119">
        <v>3.1000000000000099</v>
      </c>
      <c r="K119">
        <v>198.53306859765553</v>
      </c>
      <c r="L119">
        <v>0.44410041272888745</v>
      </c>
      <c r="M119">
        <v>2.0985784515871142</v>
      </c>
    </row>
    <row r="120" spans="1:13">
      <c r="A120">
        <v>3.0000000000000133</v>
      </c>
      <c r="B120">
        <v>552.19230917587174</v>
      </c>
      <c r="C120">
        <v>0.15658147215177248</v>
      </c>
      <c r="D120">
        <v>5.5888675019095722</v>
      </c>
      <c r="E120">
        <v>0.91589872589981869</v>
      </c>
      <c r="J120">
        <v>3.0000000000000098</v>
      </c>
      <c r="K120">
        <v>201.26604389493068</v>
      </c>
      <c r="L120">
        <v>0.43920960955697219</v>
      </c>
      <c r="M120">
        <v>2.1213637989695098</v>
      </c>
    </row>
    <row r="121" spans="1:13">
      <c r="A121">
        <v>2.9000000000000132</v>
      </c>
      <c r="B121">
        <v>558.85641840948188</v>
      </c>
      <c r="C121">
        <v>0.15415396300892778</v>
      </c>
      <c r="D121">
        <v>5.6747339649921722</v>
      </c>
      <c r="E121">
        <v>0.92049179970684625</v>
      </c>
      <c r="J121">
        <v>2.9000000000000097</v>
      </c>
      <c r="K121">
        <v>204.06737678809498</v>
      </c>
      <c r="L121">
        <v>0.43425440043741775</v>
      </c>
      <c r="M121">
        <v>2.1449429730047544</v>
      </c>
    </row>
    <row r="122" spans="1:13">
      <c r="A122">
        <v>2.8000000000000131</v>
      </c>
      <c r="B122">
        <v>565.89923387820545</v>
      </c>
      <c r="C122">
        <v>0.1516693152340802</v>
      </c>
      <c r="D122">
        <v>5.7654108183172239</v>
      </c>
      <c r="E122">
        <v>0.92519074330519113</v>
      </c>
      <c r="J122">
        <v>2.8000000000000096</v>
      </c>
      <c r="K122">
        <v>206.94346668201922</v>
      </c>
      <c r="L122">
        <v>0.4292276024410237</v>
      </c>
      <c r="M122">
        <v>2.1693866600210678</v>
      </c>
    </row>
    <row r="123" spans="1:13">
      <c r="A123">
        <v>2.7000000000000131</v>
      </c>
      <c r="B123">
        <v>573.37033059336272</v>
      </c>
      <c r="C123">
        <v>0.14912125868719978</v>
      </c>
      <c r="D123">
        <v>5.8614809424851435</v>
      </c>
      <c r="E123">
        <v>0.92999786578984844</v>
      </c>
      <c r="J123">
        <v>2.7000000000000095</v>
      </c>
      <c r="K123">
        <v>209.90144803638589</v>
      </c>
      <c r="L123">
        <v>0.42412137813963829</v>
      </c>
      <c r="M123">
        <v>2.1947743495527257</v>
      </c>
    </row>
    <row r="124" spans="1:13">
      <c r="A124">
        <v>2.600000000000013</v>
      </c>
      <c r="B124">
        <v>581.32849805330522</v>
      </c>
      <c r="C124">
        <v>0.14650265510534533</v>
      </c>
      <c r="D124">
        <v>5.9636316312399931</v>
      </c>
      <c r="E124">
        <v>0.93491482239339074</v>
      </c>
      <c r="J124">
        <v>2.6000000000000094</v>
      </c>
      <c r="K124">
        <v>212.94932089806977</v>
      </c>
      <c r="L124">
        <v>0.41892711891686291</v>
      </c>
      <c r="M124">
        <v>2.2211957314397699</v>
      </c>
    </row>
    <row r="125" spans="1:13">
      <c r="A125">
        <v>2.5000000000000129</v>
      </c>
      <c r="B125">
        <v>589.84406177268966</v>
      </c>
      <c r="C125">
        <v>0.14380531771268712</v>
      </c>
      <c r="D125">
        <v>6.0726802776261453</v>
      </c>
      <c r="E125">
        <v>0.93994233686711293</v>
      </c>
      <c r="J125">
        <v>2.5000000000000093</v>
      </c>
      <c r="K125">
        <v>216.09608735566792</v>
      </c>
      <c r="L125">
        <v>0.41363534253384088</v>
      </c>
      <c r="M125">
        <v>2.2487524777296413</v>
      </c>
    </row>
    <row r="126" spans="1:13">
      <c r="A126">
        <v>2.4000000000000128</v>
      </c>
      <c r="B126">
        <v>599.00193954242104</v>
      </c>
      <c r="C126">
        <v>0.1410197854735801</v>
      </c>
      <c r="D126">
        <v>6.1896081221477077</v>
      </c>
      <c r="E126">
        <v>0.94507982645562483</v>
      </c>
      <c r="J126">
        <v>2.4000000000000092</v>
      </c>
      <c r="K126">
        <v>219.35192089399143</v>
      </c>
      <c r="L126">
        <v>0.40823556429500746</v>
      </c>
      <c r="M126">
        <v>2.2775603321165603</v>
      </c>
    </row>
    <row r="127" spans="1:13">
      <c r="A127">
        <v>2.3000000000000127</v>
      </c>
      <c r="B127">
        <v>608.90581070470137</v>
      </c>
      <c r="C127">
        <v>0.13813501668325254</v>
      </c>
      <c r="D127">
        <v>6.3156059683838741</v>
      </c>
      <c r="E127">
        <v>0.95032489174416124</v>
      </c>
      <c r="J127">
        <v>2.3000000000000091</v>
      </c>
      <c r="K127">
        <v>222.72837269137739</v>
      </c>
      <c r="L127">
        <v>0.40271614339079503</v>
      </c>
      <c r="M127">
        <v>2.3077516875600863</v>
      </c>
    </row>
    <row r="128" spans="1:13">
      <c r="A128">
        <v>2.2000000000000126</v>
      </c>
      <c r="B128">
        <v>619.68363198657153</v>
      </c>
      <c r="C128">
        <v>0.13513802964104515</v>
      </c>
      <c r="D128">
        <v>6.4521350202955823</v>
      </c>
      <c r="E128">
        <v>0.95567261899743583</v>
      </c>
      <c r="J128">
        <v>2.2000000000000091</v>
      </c>
      <c r="K128">
        <v>226.23862487666361</v>
      </c>
      <c r="L128">
        <v>0.39706409837995565</v>
      </c>
      <c r="M128">
        <v>2.339478766535557</v>
      </c>
    </row>
    <row r="129" spans="1:13">
      <c r="A129">
        <v>2.1000000000000125</v>
      </c>
      <c r="B129">
        <v>631.495458825637</v>
      </c>
      <c r="C129">
        <v>0.1320133881897739</v>
      </c>
      <c r="D129">
        <v>6.6010122031677385</v>
      </c>
      <c r="E129">
        <v>0.96111461740322968</v>
      </c>
      <c r="J129">
        <v>2.100000000000009</v>
      </c>
      <c r="K129">
        <v>229.8978040115355</v>
      </c>
      <c r="L129">
        <v>0.39126488404681448</v>
      </c>
      <c r="M129">
        <v>2.3729175779529323</v>
      </c>
    </row>
    <row r="130" spans="1:13">
      <c r="A130">
        <v>2.0000000000000124</v>
      </c>
      <c r="B130">
        <v>644.5443830409464</v>
      </c>
      <c r="C130">
        <v>0.12874254156401452</v>
      </c>
      <c r="D130">
        <v>6.7645298193097059</v>
      </c>
      <c r="E130">
        <v>0.96663767510199816</v>
      </c>
      <c r="J130">
        <v>2.0000000000000089</v>
      </c>
      <c r="K130">
        <v>233.72337254354574</v>
      </c>
      <c r="L130">
        <v>0.38530211958504079</v>
      </c>
      <c r="M130">
        <v>2.4082728849895383</v>
      </c>
    </row>
    <row r="131" spans="1:13">
      <c r="A131">
        <v>1.9000000000000123</v>
      </c>
      <c r="B131">
        <v>659.09233164006253</v>
      </c>
      <c r="C131">
        <v>0.12530292740858875</v>
      </c>
      <c r="D131">
        <v>6.9456277917557818</v>
      </c>
      <c r="E131">
        <v>0.97222186207598515</v>
      </c>
      <c r="J131">
        <v>1.9000000000000088</v>
      </c>
      <c r="K131">
        <v>237.73562222550953</v>
      </c>
      <c r="L131">
        <v>0.37915725501885067</v>
      </c>
      <c r="M131">
        <v>2.4457845027084302</v>
      </c>
    </row>
    <row r="132" spans="1:13">
      <c r="A132">
        <v>1.8000000000000123</v>
      </c>
      <c r="B132">
        <v>675.48341008361695</v>
      </c>
      <c r="C132">
        <v>0.1216667412408956</v>
      </c>
      <c r="D132">
        <v>7.14814778292609</v>
      </c>
      <c r="E132">
        <v>0.97783781225816258</v>
      </c>
      <c r="J132">
        <v>1.8000000000000087</v>
      </c>
      <c r="K132">
        <v>241.95830233342591</v>
      </c>
      <c r="L132">
        <v>0.37280915869094827</v>
      </c>
      <c r="M132">
        <v>2.4857353648558638</v>
      </c>
    </row>
    <row r="133" spans="1:13">
      <c r="A133">
        <v>1.7000000000000122</v>
      </c>
      <c r="B133">
        <v>694.17934157531784</v>
      </c>
      <c r="C133">
        <v>0.11779922063783085</v>
      </c>
      <c r="D133">
        <v>7.3772184396810783</v>
      </c>
      <c r="E133">
        <v>0.98344276734975189</v>
      </c>
      <c r="J133">
        <v>1.7000000000000086</v>
      </c>
      <c r="K133">
        <v>246.41942822463236</v>
      </c>
      <c r="L133">
        <v>0.36623360311257419</v>
      </c>
      <c r="M133">
        <v>2.5284619736916025</v>
      </c>
    </row>
    <row r="134" spans="1:13">
      <c r="A134">
        <v>1.6000000000000121</v>
      </c>
      <c r="B134">
        <v>715.8151485028352</v>
      </c>
      <c r="C134">
        <v>0.11365618220821679</v>
      </c>
      <c r="D134">
        <v>7.6398596870850959</v>
      </c>
      <c r="E134">
        <v>0.98897469704983287</v>
      </c>
      <c r="J134">
        <v>1.6000000000000087</v>
      </c>
      <c r="K134">
        <v>305.0266814630117</v>
      </c>
      <c r="L134">
        <v>0.31598232567727902</v>
      </c>
      <c r="M134">
        <v>2.9281214891044631</v>
      </c>
    </row>
    <row r="135" spans="1:13">
      <c r="A135">
        <v>1.500000000000012</v>
      </c>
      <c r="B135">
        <v>741.28952587845299</v>
      </c>
      <c r="C135">
        <v>0.10918047296988873</v>
      </c>
      <c r="D135">
        <v>7.9459629824650779</v>
      </c>
      <c r="E135">
        <v>0.99434339533478111</v>
      </c>
      <c r="J135">
        <v>1.5000000000000089</v>
      </c>
      <c r="K135">
        <v>303.61261662928689</v>
      </c>
      <c r="L135">
        <v>0.31457387995842784</v>
      </c>
      <c r="M135">
        <v>2.9384902733979663</v>
      </c>
    </row>
    <row r="136" spans="1:13">
      <c r="A136">
        <v>1.4000000000000119</v>
      </c>
      <c r="B136">
        <v>771.91885221570396</v>
      </c>
      <c r="C136">
        <v>0.10429661562931482</v>
      </c>
      <c r="D136">
        <v>8.3099593275136066</v>
      </c>
      <c r="E136">
        <v>0.99941660292042456</v>
      </c>
      <c r="J136">
        <v>1.4000000000000088</v>
      </c>
      <c r="K136">
        <v>302.62737230450591</v>
      </c>
      <c r="L136">
        <v>0.31270956376736891</v>
      </c>
      <c r="M136">
        <v>2.9529127482274156</v>
      </c>
    </row>
    <row r="137" spans="1:13">
      <c r="A137">
        <v>1.3000000000000118</v>
      </c>
      <c r="B137">
        <v>809.71321204012065</v>
      </c>
      <c r="C137">
        <v>9.8902590482373015E-2</v>
      </c>
      <c r="D137">
        <v>8.7538070287653351</v>
      </c>
      <c r="E137">
        <v>1.0039977696975837</v>
      </c>
      <c r="J137">
        <v>1.3000000000000087</v>
      </c>
      <c r="K137">
        <v>302.1659559988156</v>
      </c>
      <c r="L137">
        <v>0.31029946936938463</v>
      </c>
      <c r="M137">
        <v>2.9723188421023137</v>
      </c>
    </row>
    <row r="138" spans="1:13">
      <c r="A138">
        <v>1.2000000000000117</v>
      </c>
      <c r="B138">
        <v>364.68812880085159</v>
      </c>
      <c r="C138">
        <v>0.26226355591446626</v>
      </c>
      <c r="D138">
        <v>4.8678043535496824</v>
      </c>
      <c r="E138">
        <v>0.4271557119632779</v>
      </c>
      <c r="J138">
        <v>1.2000000000000088</v>
      </c>
      <c r="K138">
        <v>302.34612358860841</v>
      </c>
      <c r="L138">
        <v>0.30723663682853308</v>
      </c>
      <c r="M138">
        <v>2.9978851056800155</v>
      </c>
    </row>
    <row r="139" spans="1:13">
      <c r="A139">
        <v>1.1000000000000116</v>
      </c>
      <c r="B139">
        <v>364.6881271374026</v>
      </c>
      <c r="C139">
        <v>0.26226355591446626</v>
      </c>
      <c r="D139">
        <v>3.3739206886289943</v>
      </c>
      <c r="E139">
        <v>0.42715571522339196</v>
      </c>
      <c r="J139">
        <v>1.100000000000009</v>
      </c>
      <c r="K139">
        <v>303.31362268170756</v>
      </c>
      <c r="L139">
        <v>0.30339507672676519</v>
      </c>
      <c r="M139">
        <v>3.0311066096171553</v>
      </c>
    </row>
    <row r="140" spans="1:13">
      <c r="A140">
        <v>1.0000000000000115</v>
      </c>
      <c r="B140">
        <v>364.68812250236431</v>
      </c>
      <c r="C140">
        <v>0.26226355591446626</v>
      </c>
      <c r="D140">
        <v>3.3739206611678463</v>
      </c>
      <c r="E140">
        <v>0.42715572430677462</v>
      </c>
      <c r="J140">
        <v>1.0000000000000089</v>
      </c>
      <c r="K140">
        <v>305.24843087142096</v>
      </c>
      <c r="L140">
        <v>0.2986283838761436</v>
      </c>
      <c r="M140">
        <v>3.0738915412241834</v>
      </c>
    </row>
    <row r="141" spans="1:13">
      <c r="A141">
        <v>0.90000000000001157</v>
      </c>
      <c r="B141">
        <v>364.68812953149529</v>
      </c>
      <c r="C141">
        <v>0.26226355591446626</v>
      </c>
      <c r="D141">
        <v>3.3739207691614204</v>
      </c>
      <c r="E141">
        <v>0.42715571053221413</v>
      </c>
      <c r="J141">
        <v>0.9000000000000089</v>
      </c>
      <c r="K141">
        <v>308.37257059784901</v>
      </c>
      <c r="L141">
        <v>0.2927691646263838</v>
      </c>
      <c r="M141">
        <v>3.1286911472104673</v>
      </c>
    </row>
    <row r="142" spans="1:13">
      <c r="A142">
        <v>0.80000000000001159</v>
      </c>
      <c r="B142">
        <v>364.68812562596298</v>
      </c>
      <c r="C142">
        <v>0.26226355591446626</v>
      </c>
      <c r="D142">
        <v>3.3739206678724751</v>
      </c>
      <c r="E142">
        <v>0.42715571818683706</v>
      </c>
      <c r="J142">
        <v>4.8000000000000256</v>
      </c>
      <c r="K142">
        <v>163.92638697605912</v>
      </c>
      <c r="L142">
        <v>0.51098023472968457</v>
      </c>
      <c r="M142">
        <v>1.778429039083536</v>
      </c>
    </row>
    <row r="143" spans="1:13">
      <c r="A143">
        <v>0.70000000000001161</v>
      </c>
      <c r="B143">
        <v>364.68813050374087</v>
      </c>
      <c r="C143">
        <v>0.26226355591446626</v>
      </c>
      <c r="D143">
        <v>3.3739207492022447</v>
      </c>
      <c r="E143">
        <v>0.42715570862732383</v>
      </c>
      <c r="J143">
        <v>4.7000000000000259</v>
      </c>
      <c r="K143">
        <v>166.35487516734372</v>
      </c>
      <c r="L143">
        <v>0.5059939004367614</v>
      </c>
      <c r="M143">
        <v>1.7956363561644455</v>
      </c>
    </row>
    <row r="144" spans="1:13">
      <c r="A144">
        <v>0.60000000000001164</v>
      </c>
      <c r="B144">
        <v>364.68812766005783</v>
      </c>
      <c r="C144">
        <v>0.26226355591446626</v>
      </c>
      <c r="D144">
        <v>3.3739206776797066</v>
      </c>
      <c r="E144">
        <v>0.42715571420110282</v>
      </c>
      <c r="J144">
        <v>4.6000000000000254</v>
      </c>
      <c r="K144">
        <v>168.80974149008409</v>
      </c>
      <c r="L144">
        <v>0.50100311281483145</v>
      </c>
      <c r="M144">
        <v>1.8131886119563485</v>
      </c>
    </row>
    <row r="145" spans="1:13">
      <c r="A145">
        <v>0.50000000000001166</v>
      </c>
      <c r="B145">
        <v>364.68813138975116</v>
      </c>
      <c r="C145">
        <v>0.26226355591446626</v>
      </c>
      <c r="D145">
        <v>3.3739207385443146</v>
      </c>
      <c r="E145">
        <v>0.42715570689061461</v>
      </c>
      <c r="J145">
        <v>4.5000000000000258</v>
      </c>
      <c r="K145">
        <v>171.2927285343734</v>
      </c>
      <c r="L145">
        <v>0.49600557622835467</v>
      </c>
      <c r="M145">
        <v>1.8311045122335623</v>
      </c>
    </row>
    <row r="146" spans="1:13">
      <c r="A146">
        <v>0.40000000000001168</v>
      </c>
      <c r="B146">
        <v>364.6881318433949</v>
      </c>
      <c r="C146">
        <v>0.26226355591446626</v>
      </c>
      <c r="D146">
        <v>3.3739207081677534</v>
      </c>
      <c r="E146">
        <v>0.42715570600158742</v>
      </c>
      <c r="J146">
        <v>4.4000000000000252</v>
      </c>
      <c r="K146">
        <v>173.80569507367915</v>
      </c>
      <c r="L146">
        <v>0.49099890839849469</v>
      </c>
      <c r="M146">
        <v>1.8494041617151096</v>
      </c>
    </row>
    <row r="147" spans="1:13">
      <c r="A147">
        <v>0.3000000000000117</v>
      </c>
      <c r="B147">
        <v>364.6881319829111</v>
      </c>
      <c r="C147">
        <v>0.26226355591446626</v>
      </c>
      <c r="D147">
        <v>3.3739207052541724</v>
      </c>
      <c r="E147">
        <v>0.76556023600746803</v>
      </c>
      <c r="J147">
        <v>4.3000000000000256</v>
      </c>
      <c r="K147">
        <v>176.35062803578194</v>
      </c>
      <c r="L147">
        <v>0.485980629668673</v>
      </c>
      <c r="M147">
        <v>1.8681091991475167</v>
      </c>
    </row>
    <row r="148" spans="1:13">
      <c r="J148">
        <v>4.200000000000025</v>
      </c>
      <c r="K148">
        <v>178.92965489322185</v>
      </c>
      <c r="L148">
        <v>0.48094815347185965</v>
      </c>
      <c r="M148">
        <v>1.8872429567296061</v>
      </c>
    </row>
    <row r="149" spans="1:13">
      <c r="J149">
        <v>4.1000000000000254</v>
      </c>
      <c r="K149">
        <v>181.54505792915899</v>
      </c>
      <c r="L149">
        <v>0.47589877502011235</v>
      </c>
      <c r="M149">
        <v>1.9068306351605149</v>
      </c>
    </row>
    <row r="150" spans="1:13">
      <c r="J150">
        <v>4.0000000000000249</v>
      </c>
      <c r="K150">
        <v>184.19929017569945</v>
      </c>
      <c r="L150">
        <v>0.47082965905406365</v>
      </c>
      <c r="M150">
        <v>1.9268995031560199</v>
      </c>
    </row>
    <row r="151" spans="1:13">
      <c r="J151">
        <v>3.9000000000000248</v>
      </c>
      <c r="K151">
        <v>186.89499340798227</v>
      </c>
      <c r="L151">
        <v>0.46573782623631838</v>
      </c>
      <c r="M151">
        <v>1.947479122905927</v>
      </c>
    </row>
    <row r="152" spans="1:13">
      <c r="J152">
        <v>3.8000000000000247</v>
      </c>
      <c r="K152">
        <v>189.6350184995832</v>
      </c>
      <c r="L152">
        <v>0.46062013803244339</v>
      </c>
      <c r="M152">
        <v>1.9686016063213652</v>
      </c>
    </row>
    <row r="153" spans="1:13">
      <c r="J153">
        <v>3.7000000000000246</v>
      </c>
      <c r="K153">
        <v>192.42244852047841</v>
      </c>
      <c r="L153">
        <v>0.45547327985561636</v>
      </c>
      <c r="M153">
        <v>1.9903019070631605</v>
      </c>
    </row>
    <row r="154" spans="1:13">
      <c r="J154">
        <v>3.6000000000000245</v>
      </c>
      <c r="K154">
        <v>195.26062503152721</v>
      </c>
      <c r="L154">
        <v>0.45029374221321117</v>
      </c>
      <c r="M154">
        <v>2.0126181544244526</v>
      </c>
    </row>
    <row r="155" spans="1:13">
      <c r="J155">
        <v>3.5000000000000244</v>
      </c>
      <c r="K155">
        <v>198.15317811811121</v>
      </c>
      <c r="L155">
        <v>0.44507779954842036</v>
      </c>
      <c r="M155">
        <v>2.0355920363569266</v>
      </c>
    </row>
    <row r="156" spans="1:13">
      <c r="J156">
        <v>3.4000000000000243</v>
      </c>
      <c r="K156">
        <v>201.10406081444927</v>
      </c>
      <c r="L156">
        <v>0.43982148641591973</v>
      </c>
      <c r="M156">
        <v>2.0592692404297619</v>
      </c>
    </row>
    <row r="157" spans="1:13">
      <c r="J157">
        <v>3.3000000000000242</v>
      </c>
      <c r="K157">
        <v>204.11758870423026</v>
      </c>
      <c r="L157">
        <v>0.43452057056555199</v>
      </c>
      <c r="M157">
        <v>2.0836999633660653</v>
      </c>
    </row>
    <row r="158" spans="1:13">
      <c r="J158">
        <v>3.2000000000000242</v>
      </c>
      <c r="K158">
        <v>207.19847900728146</v>
      </c>
      <c r="L158">
        <v>0.42917053376999104</v>
      </c>
      <c r="M158">
        <v>2.1089394764028788</v>
      </c>
    </row>
    <row r="159" spans="1:13">
      <c r="J159">
        <v>3.1000000000000241</v>
      </c>
      <c r="K159">
        <v>210.35193098914644</v>
      </c>
      <c r="L159">
        <v>0.42376649021904839</v>
      </c>
      <c r="M159">
        <v>2.1350488900779783</v>
      </c>
    </row>
    <row r="160" spans="1:13">
      <c r="J160">
        <v>3.000000000000024</v>
      </c>
      <c r="K160">
        <v>213.583645296003</v>
      </c>
      <c r="L160">
        <v>0.41830321968234385</v>
      </c>
      <c r="M160">
        <v>2.162095917363652</v>
      </c>
    </row>
    <row r="161" spans="10:13">
      <c r="J161">
        <v>2.9000000000000239</v>
      </c>
      <c r="K161">
        <v>216.89992529339776</v>
      </c>
      <c r="L161">
        <v>0.41277507188135543</v>
      </c>
      <c r="M161">
        <v>2.1901557451757707</v>
      </c>
    </row>
    <row r="162" spans="10:13">
      <c r="J162">
        <v>2.8000000000000238</v>
      </c>
      <c r="K162">
        <v>220.30775433924836</v>
      </c>
      <c r="L162">
        <v>0.40717592730256347</v>
      </c>
      <c r="M162">
        <v>2.219312250891627</v>
      </c>
    </row>
    <row r="163" spans="10:13">
      <c r="J163">
        <v>2.7000000000000237</v>
      </c>
      <c r="K163">
        <v>223.81489589643067</v>
      </c>
      <c r="L163">
        <v>0.40149913695509848</v>
      </c>
      <c r="M163">
        <v>2.2496592951950114</v>
      </c>
    </row>
    <row r="164" spans="10:13">
      <c r="J164">
        <v>2.6000000000000236</v>
      </c>
      <c r="K164">
        <v>227.43001235326665</v>
      </c>
      <c r="L164">
        <v>0.39573745255736592</v>
      </c>
      <c r="M164">
        <v>2.2813023037012314</v>
      </c>
    </row>
    <row r="165" spans="10:13">
      <c r="J165">
        <v>2.5000000000000235</v>
      </c>
      <c r="K165">
        <v>231.16280684261173</v>
      </c>
      <c r="L165">
        <v>0.38988294529190587</v>
      </c>
      <c r="M165">
        <v>2.3143601645888938</v>
      </c>
    </row>
    <row r="166" spans="10:13">
      <c r="J166">
        <v>2.4000000000000234</v>
      </c>
      <c r="K166">
        <v>235.02419353725625</v>
      </c>
      <c r="L166">
        <v>0.3839269108340268</v>
      </c>
      <c r="M166">
        <v>2.3489675192421671</v>
      </c>
    </row>
    <row r="167" spans="10:13">
      <c r="J167">
        <v>2.3000000000000234</v>
      </c>
      <c r="K167">
        <v>239.02650348013202</v>
      </c>
      <c r="L167">
        <v>0.37785975780204806</v>
      </c>
      <c r="M167">
        <v>2.3852775453484312</v>
      </c>
    </row>
    <row r="168" spans="10:13">
      <c r="J168">
        <v>2.2000000000000233</v>
      </c>
      <c r="K168">
        <v>324.8528020050872</v>
      </c>
      <c r="L168">
        <v>0.30690894307222077</v>
      </c>
      <c r="M168">
        <v>2.934849291573304</v>
      </c>
    </row>
    <row r="169" spans="10:13">
      <c r="J169">
        <v>2.1000000000000232</v>
      </c>
      <c r="K169">
        <v>323.13469848852742</v>
      </c>
      <c r="L169">
        <v>0.30601097597891741</v>
      </c>
      <c r="M169">
        <v>2.94146581579336</v>
      </c>
    </row>
    <row r="170" spans="10:13">
      <c r="J170">
        <v>2.0000000000000231</v>
      </c>
      <c r="K170">
        <v>321.64096991494318</v>
      </c>
      <c r="L170">
        <v>0.30488937345310241</v>
      </c>
      <c r="M170">
        <v>2.9501302340559912</v>
      </c>
    </row>
    <row r="171" spans="10:13">
      <c r="J171">
        <v>1.900000000000023</v>
      </c>
      <c r="K171">
        <v>320.40250630162325</v>
      </c>
      <c r="L171">
        <v>0.30351476704318248</v>
      </c>
      <c r="M171">
        <v>2.961151473949454</v>
      </c>
    </row>
    <row r="172" spans="10:13">
      <c r="J172">
        <v>1.8000000000000229</v>
      </c>
      <c r="K172">
        <v>319.45542015265511</v>
      </c>
      <c r="L172">
        <v>0.30185378442015154</v>
      </c>
      <c r="M172">
        <v>2.9748952254094276</v>
      </c>
    </row>
    <row r="173" spans="10:13">
      <c r="J173">
        <v>1.7000000000000228</v>
      </c>
      <c r="K173">
        <v>318.84205375952212</v>
      </c>
      <c r="L173">
        <v>0.29986854501801258</v>
      </c>
      <c r="M173">
        <v>2.9917964481560104</v>
      </c>
    </row>
    <row r="174" spans="10:13">
      <c r="J174">
        <v>1.600000000000023</v>
      </c>
      <c r="K174">
        <v>318.61220897711269</v>
      </c>
      <c r="L174">
        <v>0.29751611470126543</v>
      </c>
      <c r="M174">
        <v>3.0123750159510028</v>
      </c>
    </row>
    <row r="175" spans="10:13">
      <c r="J175">
        <v>1.5000000000000231</v>
      </c>
      <c r="K175">
        <v>318.82463381511275</v>
      </c>
      <c r="L175">
        <v>0.29474795433703149</v>
      </c>
      <c r="M175">
        <v>3.0372555398353285</v>
      </c>
    </row>
    <row r="176" spans="10:13">
      <c r="J176">
        <v>1.400000000000023</v>
      </c>
      <c r="K176">
        <v>319.54888286638675</v>
      </c>
      <c r="L176">
        <v>0.29150935077498025</v>
      </c>
      <c r="M176">
        <v>3.0671929031833995</v>
      </c>
    </row>
    <row r="177" spans="10:13">
      <c r="J177">
        <v>1.3000000000000229</v>
      </c>
      <c r="K177">
        <v>320.8676390003132</v>
      </c>
      <c r="L177">
        <v>0.28773885997110926</v>
      </c>
      <c r="M177">
        <v>3.1031053568451537</v>
      </c>
    </row>
    <row r="178" spans="10:13">
      <c r="J178">
        <v>1.200000000000023</v>
      </c>
      <c r="K178">
        <v>322.87974599433227</v>
      </c>
      <c r="L178">
        <v>0.28336774622144756</v>
      </c>
      <c r="M178">
        <v>3.1461188715594535</v>
      </c>
    </row>
    <row r="179" spans="10:13">
      <c r="J179">
        <v>1.1000000000000232</v>
      </c>
      <c r="K179">
        <v>325.70436618023274</v>
      </c>
      <c r="L179">
        <v>0.27831931295712153</v>
      </c>
      <c r="M179">
        <v>3.1976280439614069</v>
      </c>
    </row>
    <row r="180" spans="10:13">
      <c r="J180">
        <v>1.0000000000000231</v>
      </c>
      <c r="K180">
        <v>329.48709551346781</v>
      </c>
      <c r="L180">
        <v>0.272507902588352</v>
      </c>
      <c r="M180">
        <v>3.259384216782085</v>
      </c>
    </row>
    <row r="181" spans="10:13">
      <c r="J181">
        <v>0.90000000000002311</v>
      </c>
      <c r="K181">
        <v>334.40971800448784</v>
      </c>
      <c r="L181">
        <v>0.26583699846916364</v>
      </c>
      <c r="M181">
        <v>3.333629784888255</v>
      </c>
    </row>
  </sheetData>
  <mergeCells count="2">
    <mergeCell ref="N14:P14"/>
    <mergeCell ref="R44:U44"/>
  </mergeCell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F7"/>
  <sheetViews>
    <sheetView workbookViewId="0">
      <selection activeCell="C23" sqref="C23"/>
    </sheetView>
  </sheetViews>
  <sheetFormatPr defaultRowHeight="14.25"/>
  <cols>
    <col min="3" max="3" width="14.5" customWidth="1"/>
    <col min="4" max="4" width="13.5" customWidth="1"/>
    <col min="5" max="5" width="15.375" customWidth="1"/>
    <col min="6" max="6" width="14.75" customWidth="1"/>
  </cols>
  <sheetData>
    <row r="1" spans="1:6">
      <c r="A1" s="93" t="s">
        <v>194</v>
      </c>
      <c r="B1" s="93"/>
      <c r="C1" s="93"/>
      <c r="D1" s="93"/>
      <c r="E1" s="93"/>
      <c r="F1" s="93"/>
    </row>
    <row r="2" spans="1:6">
      <c r="A2" s="94" t="s">
        <v>195</v>
      </c>
      <c r="B2" s="94"/>
      <c r="C2" s="93" t="s">
        <v>196</v>
      </c>
      <c r="D2" s="93"/>
      <c r="E2" s="93" t="s">
        <v>199</v>
      </c>
      <c r="F2" s="93"/>
    </row>
    <row r="3" spans="1:6">
      <c r="A3" s="94"/>
      <c r="B3" s="94"/>
      <c r="C3" s="23" t="s">
        <v>197</v>
      </c>
      <c r="D3" s="23" t="s">
        <v>198</v>
      </c>
      <c r="E3" s="23" t="s">
        <v>197</v>
      </c>
      <c r="F3" s="23" t="s">
        <v>198</v>
      </c>
    </row>
    <row r="4" spans="1:6">
      <c r="A4" s="93">
        <v>1</v>
      </c>
      <c r="B4" s="93"/>
      <c r="C4" s="24" t="s">
        <v>42</v>
      </c>
      <c r="D4" s="23"/>
      <c r="E4" s="23"/>
      <c r="F4" s="24" t="s">
        <v>42</v>
      </c>
    </row>
    <row r="5" spans="1:6">
      <c r="A5" s="93">
        <v>2</v>
      </c>
      <c r="B5" s="93"/>
      <c r="C5" s="23"/>
      <c r="D5" s="24" t="s">
        <v>42</v>
      </c>
      <c r="E5" s="23"/>
      <c r="F5" s="24" t="s">
        <v>42</v>
      </c>
    </row>
    <row r="6" spans="1:6">
      <c r="A6" s="93">
        <v>3</v>
      </c>
      <c r="B6" s="93"/>
      <c r="C6" s="23"/>
      <c r="D6" s="24" t="s">
        <v>42</v>
      </c>
      <c r="E6" s="24" t="s">
        <v>42</v>
      </c>
      <c r="F6" s="23"/>
    </row>
    <row r="7" spans="1:6">
      <c r="A7" s="93">
        <v>4</v>
      </c>
      <c r="B7" s="93"/>
      <c r="C7" s="24" t="s">
        <v>42</v>
      </c>
      <c r="D7" s="23"/>
      <c r="E7" s="24" t="s">
        <v>42</v>
      </c>
      <c r="F7" s="23"/>
    </row>
  </sheetData>
  <mergeCells count="8">
    <mergeCell ref="A7:B7"/>
    <mergeCell ref="A2:B3"/>
    <mergeCell ref="C2:D2"/>
    <mergeCell ref="E2:F2"/>
    <mergeCell ref="A1:F1"/>
    <mergeCell ref="A4:B4"/>
    <mergeCell ref="A5:B5"/>
    <mergeCell ref="A6:B6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E13"/>
  <sheetViews>
    <sheetView workbookViewId="0">
      <selection activeCell="H8" sqref="H8"/>
    </sheetView>
  </sheetViews>
  <sheetFormatPr defaultRowHeight="14.25"/>
  <cols>
    <col min="1" max="1" width="13.625" bestFit="1" customWidth="1"/>
    <col min="2" max="2" width="15.125" customWidth="1"/>
    <col min="3" max="3" width="14.75" customWidth="1"/>
    <col min="4" max="4" width="16.375" customWidth="1"/>
  </cols>
  <sheetData>
    <row r="1" spans="1:5" ht="18" thickBot="1">
      <c r="A1" s="15" t="s">
        <v>200</v>
      </c>
      <c r="B1" s="31" t="s">
        <v>201</v>
      </c>
      <c r="C1" s="32" t="s">
        <v>121</v>
      </c>
      <c r="D1" s="32" t="s">
        <v>202</v>
      </c>
      <c r="E1" s="33" t="s">
        <v>179</v>
      </c>
    </row>
    <row r="2" spans="1:5" ht="18.75">
      <c r="A2" s="28" t="s">
        <v>203</v>
      </c>
      <c r="B2" s="26">
        <v>9160.6412999999993</v>
      </c>
      <c r="C2" s="25">
        <v>61.893000000000001</v>
      </c>
      <c r="D2" s="25">
        <v>3.3159999999999998</v>
      </c>
      <c r="E2" s="25">
        <v>0.50900000000000001</v>
      </c>
    </row>
    <row r="3" spans="1:5" ht="18.75">
      <c r="A3" s="29" t="s">
        <v>204</v>
      </c>
      <c r="B3" s="27">
        <v>147.47329999999999</v>
      </c>
      <c r="C3" s="9">
        <v>3247.453</v>
      </c>
      <c r="D3" s="9">
        <v>-14.073</v>
      </c>
      <c r="E3" s="9">
        <v>1.833</v>
      </c>
    </row>
    <row r="4" spans="1:5" ht="18.75">
      <c r="A4" s="29" t="s">
        <v>205</v>
      </c>
      <c r="B4" s="27">
        <v>46709.572999999997</v>
      </c>
      <c r="C4" s="9">
        <v>-404.488</v>
      </c>
      <c r="D4" s="9">
        <v>5.1520000000000001</v>
      </c>
      <c r="E4" s="9">
        <v>0.52200000000000002</v>
      </c>
    </row>
    <row r="5" spans="1:5" ht="18.75">
      <c r="A5" s="29" t="s">
        <v>206</v>
      </c>
      <c r="B5" s="27">
        <v>17495.343000000001</v>
      </c>
      <c r="C5" s="9">
        <v>34.164000000000001</v>
      </c>
      <c r="D5" s="9">
        <v>2.82</v>
      </c>
      <c r="E5" s="9">
        <v>0.623</v>
      </c>
    </row>
    <row r="6" spans="1:5" ht="18.75">
      <c r="A6" s="29" t="s">
        <v>207</v>
      </c>
      <c r="B6" s="27">
        <v>20247.757000000001</v>
      </c>
      <c r="C6" s="9">
        <v>190.244</v>
      </c>
      <c r="D6" s="9">
        <v>2.1589999999999998</v>
      </c>
      <c r="E6" s="9">
        <v>0.90800000000000003</v>
      </c>
    </row>
    <row r="7" spans="1:5" ht="18.75">
      <c r="A7" s="29" t="s">
        <v>208</v>
      </c>
      <c r="B7" s="27">
        <v>32204.42</v>
      </c>
      <c r="C7" s="9">
        <v>131.63200000000001</v>
      </c>
      <c r="D7" s="9">
        <v>3.3860000000000001</v>
      </c>
      <c r="E7" s="9">
        <v>1.101</v>
      </c>
    </row>
    <row r="8" spans="1:5" ht="18.75">
      <c r="A8" s="29" t="s">
        <v>209</v>
      </c>
      <c r="B8" s="27">
        <v>33016.212</v>
      </c>
      <c r="C8" s="9">
        <v>146.154</v>
      </c>
      <c r="D8" s="9">
        <v>2.9020000000000001</v>
      </c>
      <c r="E8" s="9">
        <v>1.117</v>
      </c>
    </row>
    <row r="9" spans="1:5" ht="18.75">
      <c r="A9" s="29" t="s">
        <v>210</v>
      </c>
      <c r="B9" s="27">
        <v>37046.233999999997</v>
      </c>
      <c r="C9" s="9">
        <v>299.62599999999998</v>
      </c>
      <c r="D9" s="9">
        <v>2.1949999999999998</v>
      </c>
      <c r="E9" s="9">
        <v>1.4359999999999999</v>
      </c>
    </row>
    <row r="10" spans="1:5" ht="18.75">
      <c r="A10" s="29" t="s">
        <v>211</v>
      </c>
      <c r="B10" s="27">
        <v>52093.006000000001</v>
      </c>
      <c r="C10" s="9">
        <v>254.56100000000001</v>
      </c>
      <c r="D10" s="9">
        <v>3.6960000000000002</v>
      </c>
      <c r="E10" s="9">
        <v>1.593</v>
      </c>
    </row>
    <row r="11" spans="1:5" ht="18.75">
      <c r="A11" s="29" t="s">
        <v>212</v>
      </c>
      <c r="B11" s="27">
        <v>13200</v>
      </c>
      <c r="C11" s="9">
        <v>0</v>
      </c>
      <c r="D11" s="9">
        <v>17.899999999999999</v>
      </c>
      <c r="E11" s="9">
        <v>0.39600000000000002</v>
      </c>
    </row>
    <row r="12" spans="1:5" ht="18.75">
      <c r="A12" s="29" t="s">
        <v>213</v>
      </c>
      <c r="B12" s="27">
        <v>4300</v>
      </c>
      <c r="C12" s="9">
        <v>2.2930000000000001</v>
      </c>
      <c r="D12" s="9">
        <v>4.49</v>
      </c>
      <c r="E12" s="9">
        <v>0.38500000000000001</v>
      </c>
    </row>
    <row r="13" spans="1:5" ht="19.5" thickBot="1">
      <c r="A13" s="30" t="s">
        <v>214</v>
      </c>
      <c r="B13" s="27">
        <v>8166</v>
      </c>
      <c r="C13" s="9">
        <v>126</v>
      </c>
      <c r="D13" s="9">
        <v>1.8180000000000001</v>
      </c>
      <c r="E13" s="9">
        <v>0.38700000000000001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B17"/>
  <sheetViews>
    <sheetView workbookViewId="0">
      <selection activeCell="C18" sqref="C18"/>
    </sheetView>
  </sheetViews>
  <sheetFormatPr defaultRowHeight="14.25"/>
  <sheetData>
    <row r="1" spans="1:2">
      <c r="A1" t="s">
        <v>215</v>
      </c>
      <c r="B1">
        <v>2.37</v>
      </c>
    </row>
    <row r="2" spans="1:2">
      <c r="A2" t="s">
        <v>216</v>
      </c>
      <c r="B2">
        <v>0.31</v>
      </c>
    </row>
    <row r="3" spans="1:2">
      <c r="A3" t="s">
        <v>11</v>
      </c>
      <c r="B3">
        <v>73.19</v>
      </c>
    </row>
    <row r="4" spans="1:2">
      <c r="A4" t="s">
        <v>12</v>
      </c>
      <c r="B4">
        <v>7.8</v>
      </c>
    </row>
    <row r="5" spans="1:2">
      <c r="A5" t="s">
        <v>13</v>
      </c>
      <c r="B5">
        <v>3.55</v>
      </c>
    </row>
    <row r="6" spans="1:2">
      <c r="A6" t="s">
        <v>217</v>
      </c>
      <c r="B6">
        <v>0.71</v>
      </c>
    </row>
    <row r="7" spans="1:2">
      <c r="A7" t="s">
        <v>218</v>
      </c>
      <c r="B7">
        <v>1.45</v>
      </c>
    </row>
    <row r="8" spans="1:2">
      <c r="A8" t="s">
        <v>219</v>
      </c>
      <c r="B8">
        <v>0.64</v>
      </c>
    </row>
    <row r="9" spans="1:2">
      <c r="A9" t="s">
        <v>220</v>
      </c>
      <c r="B9">
        <v>0.68</v>
      </c>
    </row>
    <row r="10" spans="1:2">
      <c r="A10" t="s">
        <v>221</v>
      </c>
      <c r="B10">
        <v>1.0900000000000001</v>
      </c>
    </row>
    <row r="11" spans="1:2">
      <c r="A11" t="s">
        <v>183</v>
      </c>
      <c r="B11">
        <v>8.2100000000000009</v>
      </c>
    </row>
    <row r="17" spans="1:1">
      <c r="A17" t="s">
        <v>222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AA31"/>
  <sheetViews>
    <sheetView workbookViewId="0">
      <selection activeCell="D14" sqref="D14"/>
    </sheetView>
  </sheetViews>
  <sheetFormatPr defaultRowHeight="14.25"/>
  <cols>
    <col min="18" max="18" width="9.25" bestFit="1" customWidth="1"/>
  </cols>
  <sheetData>
    <row r="1" spans="1:27">
      <c r="A1" t="s">
        <v>11</v>
      </c>
      <c r="B1">
        <v>91.35</v>
      </c>
    </row>
    <row r="2" spans="1:27">
      <c r="A2" t="s">
        <v>12</v>
      </c>
      <c r="B2">
        <v>4.03</v>
      </c>
      <c r="N2" t="s">
        <v>163</v>
      </c>
      <c r="O2" t="s">
        <v>102</v>
      </c>
      <c r="P2" t="s">
        <v>234</v>
      </c>
      <c r="Q2" t="s">
        <v>235</v>
      </c>
      <c r="R2" t="s">
        <v>236</v>
      </c>
      <c r="S2" t="s">
        <v>238</v>
      </c>
      <c r="T2" t="s">
        <v>239</v>
      </c>
      <c r="U2" t="s">
        <v>241</v>
      </c>
      <c r="V2" t="s">
        <v>242</v>
      </c>
      <c r="X2" t="s">
        <v>243</v>
      </c>
      <c r="Y2" t="s">
        <v>244</v>
      </c>
      <c r="Z2" t="s">
        <v>248</v>
      </c>
      <c r="AA2" t="s">
        <v>249</v>
      </c>
    </row>
    <row r="3" spans="1:27">
      <c r="A3" t="s">
        <v>13</v>
      </c>
      <c r="B3">
        <v>1.53</v>
      </c>
      <c r="H3" t="s">
        <v>183</v>
      </c>
      <c r="M3" t="s">
        <v>19</v>
      </c>
      <c r="N3">
        <v>100</v>
      </c>
      <c r="O3">
        <v>0.745</v>
      </c>
      <c r="P3">
        <f>1928.3-(1.695*10^5)*N3^(-0.03522)*O3^(3.266)*EXP(-(4.922*10^(-3))*N3-4.7685*O3+(3.462*10^(-3))*N3*O3)</f>
        <v>679.19230932725714</v>
      </c>
      <c r="Q3">
        <f>P3/1.8</f>
        <v>377.32906073736507</v>
      </c>
      <c r="R3">
        <f>189.8+450.6*O3+(0.4244+0.1174*O3)*Q3+(0.1441-1.0069*O3)*10^5/Q3</f>
        <v>558.02452644140158</v>
      </c>
      <c r="S3">
        <f>3.3864-0.0566/O3-(0.43639+4.1216/O3+0.21343/O3^2)*Q3/10^3+(0.47579+1.182/O3+0.15302/O3^2)*Q3^2/10^6-(2.4505+9.9099/O3^2)*Q3^3/10^10</f>
        <v>1.1369503145708209</v>
      </c>
      <c r="T3">
        <f>314.7+811*O3+(0.4244+0.1174*O3)*P3+(0.4669-3.2623*O3)*10^5/P3</f>
        <v>977.45304592396587</v>
      </c>
      <c r="U3">
        <f>T3/1.8</f>
        <v>543.02946995775881</v>
      </c>
      <c r="V3">
        <f>8.3634-0.0566/O3-((0.24244+2.2898/O3+0.11857/O3^2)*10^(-3))*P3+((1.4685+3.648/O3+0.47227/O3^2)*10^(-7))*P3^2-((0.42019+1.6977/O3^2)*10^(-10))*P3^3</f>
        <v>6.1140082766793959</v>
      </c>
      <c r="W3">
        <f>EXP(V3)</f>
        <v>452.14741981017977</v>
      </c>
      <c r="X3">
        <f>W3*0.0068947573</f>
        <v>3.1174467234124017</v>
      </c>
      <c r="Y3">
        <f>EXP(S3)</f>
        <v>3.1172472308740589</v>
      </c>
      <c r="AA3">
        <f>Q3/R3</f>
        <v>0.6761872334602278</v>
      </c>
    </row>
    <row r="4" spans="1:27">
      <c r="A4" t="s">
        <v>14</v>
      </c>
      <c r="B4">
        <v>0.39</v>
      </c>
      <c r="H4" t="s">
        <v>16</v>
      </c>
      <c r="M4" t="s">
        <v>224</v>
      </c>
      <c r="N4">
        <v>114</v>
      </c>
      <c r="O4">
        <v>0.753</v>
      </c>
      <c r="P4">
        <f t="shared" ref="P4:P6" si="0">1928.3-(1.695*10^5)*N4^(-0.03522)*O4^(3.266)*EXP(-(4.922*10^(-3))*N4-4.7685*O4+(3.462*10^(-3))*N4*O4)</f>
        <v>725.19127117765947</v>
      </c>
      <c r="Q4">
        <f t="shared" ref="Q4:Q6" si="1">P4/1.8</f>
        <v>402.88403954314413</v>
      </c>
      <c r="R4">
        <f t="shared" ref="R4:R6" si="2">189.8+450.6*O4+(0.4244+0.1174*O4)*Q4+(0.1441-1.0069*O4)*10^5/Q4</f>
        <v>583.27669560901336</v>
      </c>
      <c r="S4">
        <f t="shared" ref="S4:S6" si="3">3.3864-0.0566/O4-(0.43639+4.1216/O4+0.21343/O4^2)*Q4/10^3+(0.47579+1.182/O4+0.15302/O4^2)*Q4^2/10^6-(2.4505+9.9099/O4^2)*Q4^3/10^10</f>
        <v>1.0240582507282128</v>
      </c>
      <c r="T4">
        <f t="shared" ref="T4:T6" si="4">314.7+811*O4+(0.4244+0.1174*O4)*P4+(0.4669-3.2623*O4)*10^5/P4</f>
        <v>1022.9058331525043</v>
      </c>
      <c r="U4">
        <f t="shared" ref="U4:U6" si="5">T4/1.8</f>
        <v>568.2810184180579</v>
      </c>
      <c r="V4">
        <f t="shared" ref="V4:V6" si="6">8.3634-0.0566/O4-((0.24244+2.2898/O4+0.11857/O4^2)*10^(-3))*P4+((1.4685+3.648/O4+0.47227/O4^2)*10^(-7))*P4^2-((0.42019+1.6977/O4^2)*10^(-10))*P4^3</f>
        <v>6.0011303821319091</v>
      </c>
      <c r="W4">
        <f t="shared" ref="W4:W6" si="7">EXP(V4)</f>
        <v>403.8850800328874</v>
      </c>
      <c r="X4">
        <f t="shared" ref="X4:X6" si="8">W4*0.0068947573</f>
        <v>2.7846896039178346</v>
      </c>
      <c r="Y4">
        <f t="shared" ref="Y4:Y6" si="9">EXP(S4)</f>
        <v>2.7844719509834781</v>
      </c>
      <c r="AA4">
        <f t="shared" ref="AA4:AA6" si="10">Q4/R4</f>
        <v>0.69072541827251155</v>
      </c>
    </row>
    <row r="5" spans="1:27">
      <c r="A5" t="s">
        <v>15</v>
      </c>
      <c r="B5">
        <v>0.43</v>
      </c>
      <c r="H5" t="s">
        <v>232</v>
      </c>
      <c r="M5" t="s">
        <v>225</v>
      </c>
      <c r="N5">
        <v>128</v>
      </c>
      <c r="O5">
        <v>0.77300000000000002</v>
      </c>
      <c r="P5">
        <f t="shared" si="0"/>
        <v>769.33811181520082</v>
      </c>
      <c r="Q5">
        <f t="shared" si="1"/>
        <v>427.41006211955602</v>
      </c>
      <c r="R5">
        <f t="shared" si="2"/>
        <v>609.90420031585995</v>
      </c>
      <c r="S5">
        <f t="shared" si="3"/>
        <v>0.95947478530868024</v>
      </c>
      <c r="T5">
        <f t="shared" si="4"/>
        <v>1070.8334269331601</v>
      </c>
      <c r="U5">
        <f t="shared" si="5"/>
        <v>594.90745940731119</v>
      </c>
      <c r="V5">
        <f t="shared" si="6"/>
        <v>5.9365587783879317</v>
      </c>
      <c r="W5">
        <f t="shared" si="7"/>
        <v>378.62973626509381</v>
      </c>
      <c r="X5">
        <f t="shared" si="8"/>
        <v>2.6105601381108303</v>
      </c>
      <c r="Y5">
        <f t="shared" si="9"/>
        <v>2.6103251322218046</v>
      </c>
      <c r="AA5">
        <f t="shared" si="10"/>
        <v>0.70078228990422919</v>
      </c>
    </row>
    <row r="6" spans="1:27">
      <c r="A6" t="s">
        <v>17</v>
      </c>
      <c r="B6">
        <v>0.15</v>
      </c>
      <c r="H6" t="s">
        <v>233</v>
      </c>
      <c r="M6" t="s">
        <v>226</v>
      </c>
      <c r="N6">
        <v>179</v>
      </c>
      <c r="O6">
        <v>0.81399999999999995</v>
      </c>
      <c r="P6">
        <f t="shared" si="0"/>
        <v>908.23720926311944</v>
      </c>
      <c r="Q6">
        <f t="shared" si="1"/>
        <v>504.57622736839966</v>
      </c>
      <c r="R6">
        <f t="shared" si="2"/>
        <v>685.0716640616597</v>
      </c>
      <c r="S6">
        <f t="shared" si="3"/>
        <v>0.70529486745344327</v>
      </c>
      <c r="T6">
        <f t="shared" si="4"/>
        <v>1206.1306559184516</v>
      </c>
      <c r="U6">
        <f t="shared" si="5"/>
        <v>670.07258662136201</v>
      </c>
      <c r="V6">
        <f t="shared" si="6"/>
        <v>5.682428576611696</v>
      </c>
      <c r="W6">
        <f t="shared" si="7"/>
        <v>293.66174466182633</v>
      </c>
      <c r="X6">
        <f t="shared" si="8"/>
        <v>2.024726457737863</v>
      </c>
      <c r="Y6">
        <f t="shared" si="9"/>
        <v>2.0244435394326503</v>
      </c>
      <c r="AA6">
        <f t="shared" si="10"/>
        <v>0.73653057605223826</v>
      </c>
    </row>
    <row r="7" spans="1:27">
      <c r="A7" t="s">
        <v>223</v>
      </c>
      <c r="B7">
        <v>0.19</v>
      </c>
    </row>
    <row r="8" spans="1:27">
      <c r="A8" t="s">
        <v>18</v>
      </c>
      <c r="B8">
        <v>0.39</v>
      </c>
    </row>
    <row r="9" spans="1:27">
      <c r="A9" t="s">
        <v>19</v>
      </c>
      <c r="B9">
        <v>0.36099999999999999</v>
      </c>
      <c r="C9" t="s">
        <v>183</v>
      </c>
      <c r="D9">
        <v>1.54</v>
      </c>
    </row>
    <row r="10" spans="1:27">
      <c r="A10" t="s">
        <v>224</v>
      </c>
      <c r="B10">
        <v>0.28499999999999998</v>
      </c>
    </row>
    <row r="11" spans="1:27">
      <c r="A11" t="s">
        <v>225</v>
      </c>
      <c r="B11">
        <v>0.222</v>
      </c>
    </row>
    <row r="12" spans="1:27">
      <c r="A12" t="s">
        <v>226</v>
      </c>
      <c r="B12">
        <v>0.67200000000000004</v>
      </c>
    </row>
    <row r="13" spans="1:27">
      <c r="B13">
        <f>SUM(B9:B12)</f>
        <v>1.54</v>
      </c>
      <c r="H13" t="s">
        <v>237</v>
      </c>
    </row>
    <row r="14" spans="1:27">
      <c r="N14" t="s">
        <v>236</v>
      </c>
      <c r="O14" t="s">
        <v>245</v>
      </c>
      <c r="P14" t="s">
        <v>247</v>
      </c>
      <c r="Q14" t="s">
        <v>250</v>
      </c>
      <c r="R14" t="s">
        <v>233</v>
      </c>
      <c r="S14" t="s">
        <v>163</v>
      </c>
      <c r="T14" t="s">
        <v>102</v>
      </c>
      <c r="W14" t="s">
        <v>251</v>
      </c>
      <c r="X14">
        <v>-5.9271399999999996</v>
      </c>
    </row>
    <row r="15" spans="1:27">
      <c r="A15" t="s">
        <v>227</v>
      </c>
      <c r="B15">
        <f>SUM(B1:B8,D9)</f>
        <v>100.00000000000001</v>
      </c>
      <c r="M15" t="s">
        <v>19</v>
      </c>
      <c r="N15">
        <v>558.02452644140158</v>
      </c>
      <c r="O15">
        <v>3.1172472308740589</v>
      </c>
      <c r="P15">
        <v>0.36099999999999999</v>
      </c>
      <c r="Q15">
        <v>452.14741981017977</v>
      </c>
      <c r="R15">
        <f>(-LN(Q15/14.7)+$X$14+$X$15/AA3+$X$16*LN(AA3)+$X$17*AA3^6)/($X$18+$X$19/AA3+$X$20*LN(AA3)+$X$21*AA3^6)</f>
        <v>0.32551298787786631</v>
      </c>
      <c r="S15">
        <v>100</v>
      </c>
      <c r="T15">
        <v>0.745</v>
      </c>
      <c r="W15" t="s">
        <v>252</v>
      </c>
      <c r="X15">
        <v>6.0964799999999997</v>
      </c>
    </row>
    <row r="16" spans="1:27">
      <c r="M16" t="s">
        <v>224</v>
      </c>
      <c r="N16">
        <v>583.27669560901336</v>
      </c>
      <c r="O16">
        <v>2.7844719509834781</v>
      </c>
      <c r="P16">
        <v>0.28499999999999998</v>
      </c>
      <c r="Q16">
        <v>403.8850800328874</v>
      </c>
      <c r="R16">
        <f t="shared" ref="R16:R18" si="11">(-LN(Q16/14.7)+$X$14+$X$15/AA4+$X$16*LN(AA4)+$X$17*AA4^6)/($X$18+$X$19/AA4+$X$20*LN(AA4)+$X$21*AA4^6)</f>
        <v>0.37460902255526857</v>
      </c>
      <c r="S16">
        <v>114</v>
      </c>
      <c r="T16">
        <v>0.753</v>
      </c>
      <c r="W16" t="s">
        <v>253</v>
      </c>
      <c r="X16">
        <v>1.2886200000000001</v>
      </c>
    </row>
    <row r="17" spans="1:24">
      <c r="M17" t="s">
        <v>225</v>
      </c>
      <c r="N17">
        <v>609.90420031585995</v>
      </c>
      <c r="O17">
        <v>2.6103251322218046</v>
      </c>
      <c r="P17">
        <v>0.222</v>
      </c>
      <c r="Q17">
        <v>378.62973626509381</v>
      </c>
      <c r="R17">
        <f t="shared" si="11"/>
        <v>0.41644052249114372</v>
      </c>
      <c r="S17">
        <v>128</v>
      </c>
      <c r="T17">
        <v>0.77300000000000002</v>
      </c>
      <c r="W17" t="s">
        <v>254</v>
      </c>
      <c r="X17">
        <v>-0.169347</v>
      </c>
    </row>
    <row r="18" spans="1:24">
      <c r="M18" t="s">
        <v>226</v>
      </c>
      <c r="N18">
        <v>685.0716640616597</v>
      </c>
      <c r="O18">
        <v>2.0244435394326503</v>
      </c>
      <c r="P18">
        <v>0.67200000000000004</v>
      </c>
      <c r="Q18">
        <v>293.66174466182633</v>
      </c>
      <c r="R18">
        <f t="shared" si="11"/>
        <v>0.57348487195835096</v>
      </c>
      <c r="S18">
        <v>179</v>
      </c>
      <c r="T18">
        <v>0.81399999999999995</v>
      </c>
      <c r="W18" t="s">
        <v>255</v>
      </c>
      <c r="X18">
        <v>15.251799999999999</v>
      </c>
    </row>
    <row r="19" spans="1:24">
      <c r="G19" t="s">
        <v>240</v>
      </c>
      <c r="W19" t="s">
        <v>256</v>
      </c>
      <c r="X19">
        <v>-15.6875</v>
      </c>
    </row>
    <row r="20" spans="1:24">
      <c r="M20" t="s">
        <v>246</v>
      </c>
      <c r="N20">
        <f>SUMPRODUCT(N15:N18,P15:P18)/SUM(P15:P18)</f>
        <v>625.61532663212404</v>
      </c>
      <c r="O20">
        <f>SUMPRODUCT(O15:O18,P15:P18)/SUM(P15:P18)</f>
        <v>2.5057266196284464</v>
      </c>
      <c r="R20">
        <f>SUMPRODUCT(R15:R18,P15:P18)/SUM(P15:P18)</f>
        <v>0.45591259090987474</v>
      </c>
      <c r="S20">
        <f>SUMPRODUCT(S15:S18*P15:P18)/SUM(P15:P18)</f>
        <v>141.1</v>
      </c>
      <c r="T20">
        <f>SUMPRODUCT(T15:T18,P15:P18)/SUM(P15:P18)</f>
        <v>0.780625974025974</v>
      </c>
      <c r="W20" t="s">
        <v>257</v>
      </c>
      <c r="X20">
        <v>-13.472099999999999</v>
      </c>
    </row>
    <row r="21" spans="1:24">
      <c r="N21">
        <v>625.61532663212404</v>
      </c>
      <c r="O21">
        <v>2.5057266196284464</v>
      </c>
      <c r="R21">
        <v>0.45591259090987474</v>
      </c>
      <c r="S21">
        <v>141.1</v>
      </c>
      <c r="T21">
        <v>0.780625974025974</v>
      </c>
      <c r="W21" t="s">
        <v>258</v>
      </c>
      <c r="X21">
        <v>0.43576999999999999</v>
      </c>
    </row>
    <row r="23" spans="1:24">
      <c r="A23" s="3">
        <v>65.95</v>
      </c>
    </row>
    <row r="24" spans="1:24">
      <c r="A24" s="3">
        <v>8.43</v>
      </c>
    </row>
    <row r="25" spans="1:24">
      <c r="A25" s="3">
        <v>6.53</v>
      </c>
    </row>
    <row r="26" spans="1:24">
      <c r="A26" s="3">
        <v>0.39</v>
      </c>
    </row>
    <row r="27" spans="1:24">
      <c r="A27" s="3">
        <v>0.43</v>
      </c>
    </row>
    <row r="28" spans="1:24">
      <c r="A28" s="3">
        <v>0.15</v>
      </c>
    </row>
    <row r="29" spans="1:24">
      <c r="A29" s="3">
        <v>0.19</v>
      </c>
    </row>
    <row r="30" spans="1:24">
      <c r="A30" s="3">
        <v>0.39</v>
      </c>
    </row>
    <row r="31" spans="1:24">
      <c r="A31" s="3">
        <v>17.54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R81"/>
  <sheetViews>
    <sheetView zoomScale="80" zoomScaleNormal="80" workbookViewId="0">
      <selection activeCell="F36" sqref="F36:F39"/>
    </sheetView>
  </sheetViews>
  <sheetFormatPr defaultRowHeight="14.25"/>
  <cols>
    <col min="1" max="1" width="4.25" customWidth="1"/>
    <col min="2" max="2" width="12.75" bestFit="1" customWidth="1"/>
    <col min="3" max="4" width="11.375" style="17" bestFit="1" customWidth="1"/>
    <col min="5" max="5" width="14.875" style="17" bestFit="1" customWidth="1"/>
    <col min="6" max="6" width="16.25" style="17" bestFit="1" customWidth="1"/>
    <col min="7" max="9" width="11.375" style="17" bestFit="1" customWidth="1"/>
    <col min="10" max="10" width="11.75" style="17" bestFit="1" customWidth="1"/>
    <col min="11" max="11" width="12.375" style="17" bestFit="1" customWidth="1"/>
    <col min="12" max="12" width="11.375" style="17" bestFit="1" customWidth="1"/>
    <col min="13" max="13" width="15.5" style="17" bestFit="1" customWidth="1"/>
    <col min="14" max="14" width="20" style="17" bestFit="1" customWidth="1"/>
    <col min="15" max="15" width="18.125" style="17" bestFit="1" customWidth="1"/>
    <col min="16" max="16" width="15.875" style="17" bestFit="1" customWidth="1"/>
    <col min="17" max="17" width="22.125" style="17" bestFit="1" customWidth="1"/>
    <col min="18" max="18" width="12.75" style="17" bestFit="1" customWidth="1"/>
  </cols>
  <sheetData>
    <row r="1" spans="1:18">
      <c r="A1" s="72"/>
      <c r="B1" s="72" t="s">
        <v>141</v>
      </c>
      <c r="C1" s="72" t="s">
        <v>127</v>
      </c>
      <c r="D1" s="72" t="s">
        <v>128</v>
      </c>
      <c r="E1" s="72" t="s">
        <v>130</v>
      </c>
      <c r="F1" s="72" t="s">
        <v>129</v>
      </c>
      <c r="G1" s="72" t="s">
        <v>133</v>
      </c>
      <c r="H1" s="72" t="s">
        <v>135</v>
      </c>
      <c r="I1" s="72" t="s">
        <v>136</v>
      </c>
      <c r="J1" s="72" t="s">
        <v>137</v>
      </c>
      <c r="K1" s="72" t="s">
        <v>138</v>
      </c>
      <c r="L1" s="72" t="s">
        <v>139</v>
      </c>
      <c r="M1" s="72" t="s">
        <v>142</v>
      </c>
      <c r="N1" s="72" t="s">
        <v>144</v>
      </c>
      <c r="O1" s="72" t="s">
        <v>146</v>
      </c>
      <c r="P1" s="72" t="s">
        <v>147</v>
      </c>
      <c r="Q1" s="72" t="s">
        <v>150</v>
      </c>
      <c r="R1" s="72" t="s">
        <v>152</v>
      </c>
    </row>
    <row r="2" spans="1:18" ht="15">
      <c r="A2" s="73" t="s">
        <v>114</v>
      </c>
      <c r="B2" s="73" t="s">
        <v>72</v>
      </c>
      <c r="C2" s="73" t="s">
        <v>81</v>
      </c>
      <c r="D2" s="73" t="s">
        <v>71</v>
      </c>
      <c r="E2" s="73" t="s">
        <v>42</v>
      </c>
      <c r="F2" s="73" t="s">
        <v>102</v>
      </c>
      <c r="G2" s="73" t="s">
        <v>263</v>
      </c>
      <c r="H2" s="73" t="s">
        <v>264</v>
      </c>
      <c r="I2" s="74" t="s">
        <v>265</v>
      </c>
      <c r="J2" s="73" t="s">
        <v>266</v>
      </c>
      <c r="K2" s="74" t="s">
        <v>267</v>
      </c>
      <c r="L2" s="73" t="s">
        <v>268</v>
      </c>
      <c r="M2" s="73" t="s">
        <v>143</v>
      </c>
      <c r="N2" s="73" t="s">
        <v>145</v>
      </c>
      <c r="O2" s="73" t="s">
        <v>154</v>
      </c>
      <c r="P2" s="73" t="s">
        <v>148</v>
      </c>
      <c r="Q2" s="73" t="s">
        <v>153</v>
      </c>
      <c r="R2" s="73" t="s">
        <v>107</v>
      </c>
    </row>
    <row r="3" spans="1:18">
      <c r="A3" s="73">
        <v>1</v>
      </c>
      <c r="B3" s="73">
        <v>24</v>
      </c>
      <c r="C3" s="75">
        <v>1</v>
      </c>
      <c r="D3" s="75">
        <v>0</v>
      </c>
      <c r="E3" s="75">
        <v>0.61349582930076685</v>
      </c>
      <c r="F3" s="75">
        <v>0.61350000000000005</v>
      </c>
      <c r="G3" s="75">
        <v>0.85003789501906124</v>
      </c>
      <c r="H3" s="75">
        <v>0</v>
      </c>
      <c r="I3" s="75">
        <v>7001.4800390330074</v>
      </c>
      <c r="J3" s="75">
        <v>0</v>
      </c>
      <c r="K3" s="75">
        <v>1</v>
      </c>
      <c r="L3" s="75">
        <v>1</v>
      </c>
      <c r="M3" s="75">
        <v>0</v>
      </c>
      <c r="N3" s="75">
        <v>0</v>
      </c>
      <c r="O3" s="75">
        <v>0</v>
      </c>
      <c r="P3" s="75">
        <v>0.85003789501906124</v>
      </c>
      <c r="Q3" s="75">
        <v>7001.4800390330074</v>
      </c>
      <c r="R3" s="75">
        <v>0.61350000000000016</v>
      </c>
    </row>
    <row r="4" spans="1:18">
      <c r="A4" s="73"/>
      <c r="B4" s="73"/>
      <c r="C4" s="75"/>
      <c r="D4" s="75"/>
      <c r="E4" s="75">
        <v>0.11029975983658032</v>
      </c>
      <c r="F4" s="75">
        <v>0.1103</v>
      </c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>
        <v>0.1103</v>
      </c>
    </row>
    <row r="5" spans="1:18">
      <c r="A5" s="73"/>
      <c r="B5" s="73"/>
      <c r="C5" s="75"/>
      <c r="D5" s="75"/>
      <c r="E5" s="75">
        <v>6.5300076118336992E-2</v>
      </c>
      <c r="F5" s="75">
        <v>6.5299999999999997E-2</v>
      </c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>
        <v>6.5299999999999997E-2</v>
      </c>
    </row>
    <row r="6" spans="1:18">
      <c r="A6" s="73"/>
      <c r="B6" s="73"/>
      <c r="C6" s="75"/>
      <c r="D6" s="75"/>
      <c r="E6" s="75">
        <v>3.900013768384111E-3</v>
      </c>
      <c r="F6" s="75">
        <v>3.9000000000000003E-3</v>
      </c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>
        <v>3.9000000000000003E-3</v>
      </c>
    </row>
    <row r="7" spans="1:18">
      <c r="A7" s="73"/>
      <c r="B7" s="73"/>
      <c r="C7" s="75"/>
      <c r="D7" s="75"/>
      <c r="E7" s="75">
        <v>4.3000194255198741E-3</v>
      </c>
      <c r="F7" s="75">
        <v>4.3E-3</v>
      </c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>
        <v>4.3E-3</v>
      </c>
    </row>
    <row r="8" spans="1:18">
      <c r="A8" s="73"/>
      <c r="B8" s="73"/>
      <c r="C8" s="75"/>
      <c r="D8" s="75"/>
      <c r="E8" s="75">
        <v>1.5000109152716907E-3</v>
      </c>
      <c r="F8" s="75">
        <v>1.5E-3</v>
      </c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>
        <v>1.5E-3</v>
      </c>
    </row>
    <row r="9" spans="1:18">
      <c r="A9" s="73"/>
      <c r="B9" s="73"/>
      <c r="C9" s="75"/>
      <c r="D9" s="75"/>
      <c r="E9" s="75">
        <v>1.9000146170380769E-3</v>
      </c>
      <c r="F9" s="75">
        <v>1.9E-3</v>
      </c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>
        <v>1.9E-3</v>
      </c>
    </row>
    <row r="10" spans="1:18">
      <c r="A10" s="73"/>
      <c r="B10" s="73"/>
      <c r="C10" s="75"/>
      <c r="D10" s="75"/>
      <c r="E10" s="75">
        <v>3.9000412948999343E-3</v>
      </c>
      <c r="F10" s="75">
        <v>3.9000000000000003E-3</v>
      </c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>
        <v>3.9000000000000003E-3</v>
      </c>
    </row>
    <row r="11" spans="1:18">
      <c r="A11" s="73"/>
      <c r="B11" s="73"/>
      <c r="C11" s="75"/>
      <c r="D11" s="75"/>
      <c r="E11" s="75">
        <v>0.19540423255291456</v>
      </c>
      <c r="F11" s="75">
        <v>0.19539999999999999</v>
      </c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>
        <v>0.19539999999999999</v>
      </c>
    </row>
    <row r="12" spans="1:18">
      <c r="A12" s="73">
        <v>2</v>
      </c>
      <c r="B12" s="73">
        <v>21</v>
      </c>
      <c r="C12" s="75">
        <v>0.6411602898927341</v>
      </c>
      <c r="D12" s="75">
        <v>0.3588397101072659</v>
      </c>
      <c r="E12" s="75"/>
      <c r="F12" s="75"/>
      <c r="G12" s="75">
        <v>0.82261410704927274</v>
      </c>
      <c r="H12" s="75">
        <v>2512.4090675284133</v>
      </c>
      <c r="I12" s="75">
        <v>4489.0709715045941</v>
      </c>
      <c r="J12" s="75">
        <v>0.36906558333046841</v>
      </c>
      <c r="K12" s="75">
        <v>0.73692088334962036</v>
      </c>
      <c r="L12" s="75">
        <v>1.1059864666800887</v>
      </c>
      <c r="M12" s="75">
        <v>0.10598646668008871</v>
      </c>
      <c r="N12" s="75">
        <v>645.63344817057987</v>
      </c>
      <c r="O12" s="75">
        <v>9.2213852581339353</v>
      </c>
      <c r="P12" s="75">
        <v>0.8193374180214873</v>
      </c>
      <c r="Q12" s="75">
        <v>3843.4375233340143</v>
      </c>
      <c r="R12" s="75"/>
    </row>
    <row r="13" spans="1:18">
      <c r="A13" s="73"/>
      <c r="B13" s="73"/>
      <c r="C13" s="75"/>
      <c r="D13" s="75"/>
      <c r="E13" s="75">
        <v>0.52138812995733474</v>
      </c>
      <c r="F13" s="75">
        <v>0.66505247020846869</v>
      </c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>
        <v>0.60826324693703993</v>
      </c>
    </row>
    <row r="14" spans="1:18">
      <c r="A14" s="73"/>
      <c r="B14" s="73"/>
      <c r="C14" s="75"/>
      <c r="D14" s="75"/>
      <c r="E14" s="75">
        <v>0.10409948604103361</v>
      </c>
      <c r="F14" s="75">
        <v>0.11377025645010515</v>
      </c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>
        <v>0.10994748777273215</v>
      </c>
    </row>
    <row r="15" spans="1:18">
      <c r="A15" s="73"/>
      <c r="B15" s="73"/>
      <c r="C15" s="75"/>
      <c r="D15" s="75"/>
      <c r="E15" s="75">
        <v>6.6293726424463309E-2</v>
      </c>
      <c r="F15" s="75">
        <v>6.4743838759664926E-2</v>
      </c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>
        <v>6.5356495432072365E-2</v>
      </c>
    </row>
    <row r="16" spans="1:18">
      <c r="A16" s="73"/>
      <c r="B16" s="73"/>
      <c r="C16" s="75"/>
      <c r="D16" s="75"/>
      <c r="E16" s="75">
        <v>4.1617050268142252E-3</v>
      </c>
      <c r="F16" s="75">
        <v>3.7535309228658846E-3</v>
      </c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>
        <v>3.9148784798324759E-3</v>
      </c>
    </row>
    <row r="17" spans="1:18">
      <c r="A17" s="73"/>
      <c r="B17" s="73"/>
      <c r="C17" s="75"/>
      <c r="D17" s="75"/>
      <c r="E17" s="75">
        <v>4.6820082075929156E-3</v>
      </c>
      <c r="F17" s="75">
        <v>4.086200554475743E-3</v>
      </c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>
        <v>4.3217179680562507E-3</v>
      </c>
    </row>
    <row r="18" spans="1:18">
      <c r="A18" s="73"/>
      <c r="B18" s="73"/>
      <c r="C18" s="75"/>
      <c r="D18" s="75"/>
      <c r="E18" s="75">
        <v>1.7261214319148272E-3</v>
      </c>
      <c r="F18" s="75">
        <v>1.3734460783731144E-3</v>
      </c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>
        <v>1.5128554778079358E-3</v>
      </c>
    </row>
    <row r="19" spans="1:18">
      <c r="A19" s="73"/>
      <c r="B19" s="73"/>
      <c r="C19" s="75"/>
      <c r="D19" s="75"/>
      <c r="E19" s="75">
        <v>2.2057281213289487E-3</v>
      </c>
      <c r="F19" s="75">
        <v>1.7288924124610507E-3</v>
      </c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>
        <v>1.9173812851162491E-3</v>
      </c>
    </row>
    <row r="20" spans="1:18">
      <c r="A20" s="73"/>
      <c r="B20" s="73"/>
      <c r="C20" s="75"/>
      <c r="D20" s="75"/>
      <c r="E20" s="75">
        <v>4.7907193201438816E-3</v>
      </c>
      <c r="F20" s="75">
        <v>3.4014889916516131E-3</v>
      </c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>
        <v>3.9506392620825186E-3</v>
      </c>
    </row>
    <row r="21" spans="1:18">
      <c r="A21" s="73"/>
      <c r="B21" s="73"/>
      <c r="C21" s="75"/>
      <c r="D21" s="75"/>
      <c r="E21" s="75">
        <v>0.29065237558341417</v>
      </c>
      <c r="F21" s="75">
        <v>0.1420898755581087</v>
      </c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>
        <v>0.20081529739174378</v>
      </c>
    </row>
    <row r="22" spans="1:18">
      <c r="A22" s="73">
        <v>3</v>
      </c>
      <c r="B22" s="73">
        <v>18</v>
      </c>
      <c r="C22" s="75">
        <v>0.66263295024859092</v>
      </c>
      <c r="D22" s="75">
        <v>0.33736704975140908</v>
      </c>
      <c r="E22" s="75"/>
      <c r="F22" s="75"/>
      <c r="G22" s="75">
        <v>0.80917661146655573</v>
      </c>
      <c r="H22" s="75">
        <v>2144.2532130318082</v>
      </c>
      <c r="I22" s="75">
        <v>4211.5933778306189</v>
      </c>
      <c r="J22" s="75">
        <v>0.32844523081318294</v>
      </c>
      <c r="K22" s="75">
        <v>0.82375331313218492</v>
      </c>
      <c r="L22" s="75">
        <v>1.1521985439453679</v>
      </c>
      <c r="M22" s="75">
        <v>0.15219854394536791</v>
      </c>
      <c r="N22" s="75">
        <v>778.14361360014959</v>
      </c>
      <c r="O22" s="75">
        <v>20.33537271881405</v>
      </c>
      <c r="P22" s="75">
        <v>0.80026536622591871</v>
      </c>
      <c r="Q22" s="75">
        <v>3433.4497642304696</v>
      </c>
      <c r="R22" s="75"/>
    </row>
    <row r="23" spans="1:18">
      <c r="A23" s="73"/>
      <c r="B23" s="73"/>
      <c r="C23" s="75"/>
      <c r="D23" s="75"/>
      <c r="E23" s="75">
        <v>0.43250130254458202</v>
      </c>
      <c r="F23" s="75">
        <v>0.69774912085262075</v>
      </c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>
        <v>0.59577910040240045</v>
      </c>
    </row>
    <row r="24" spans="1:18">
      <c r="A24" s="73"/>
      <c r="B24" s="73"/>
      <c r="C24" s="75"/>
      <c r="D24" s="75"/>
      <c r="E24" s="75">
        <v>9.6188094927032328E-2</v>
      </c>
      <c r="F24" s="75">
        <v>0.11695282273077029</v>
      </c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>
        <v>0.10897017566397536</v>
      </c>
    </row>
    <row r="25" spans="1:18">
      <c r="A25" s="73"/>
      <c r="B25" s="73"/>
      <c r="C25" s="75"/>
      <c r="D25" s="75"/>
      <c r="E25" s="75">
        <v>6.5856632793391573E-2</v>
      </c>
      <c r="F25" s="75">
        <v>6.5101859941948573E-2</v>
      </c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>
        <v>6.53920195503776E-2</v>
      </c>
    </row>
    <row r="26" spans="1:18">
      <c r="A26" s="73"/>
      <c r="B26" s="73"/>
      <c r="C26" s="75"/>
      <c r="D26" s="75"/>
      <c r="E26" s="75">
        <v>4.3350267071623995E-3</v>
      </c>
      <c r="F26" s="75">
        <v>3.7009679463170446E-3</v>
      </c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>
        <v>3.9447210720636137E-3</v>
      </c>
    </row>
    <row r="27" spans="1:18">
      <c r="A27" s="73"/>
      <c r="B27" s="73"/>
      <c r="C27" s="75"/>
      <c r="D27" s="75"/>
      <c r="E27" s="75">
        <v>4.9664476160483717E-3</v>
      </c>
      <c r="F27" s="75">
        <v>3.9934660464626057E-3</v>
      </c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>
        <v>4.3675122918991182E-3</v>
      </c>
    </row>
    <row r="28" spans="1:18">
      <c r="A28" s="73"/>
      <c r="B28" s="73"/>
      <c r="C28" s="75"/>
      <c r="D28" s="75"/>
      <c r="E28" s="75">
        <v>1.9223303878151481E-3</v>
      </c>
      <c r="F28" s="75">
        <v>1.3043790621927274E-3</v>
      </c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>
        <v>1.5419399579350672E-3</v>
      </c>
    </row>
    <row r="29" spans="1:18">
      <c r="A29" s="73"/>
      <c r="B29" s="73"/>
      <c r="C29" s="75"/>
      <c r="D29" s="75"/>
      <c r="E29" s="75">
        <v>2.4771795962817036E-3</v>
      </c>
      <c r="F29" s="75">
        <v>1.6323705493493971E-3</v>
      </c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>
        <v>1.9571430445266282E-3</v>
      </c>
    </row>
    <row r="30" spans="1:18">
      <c r="A30" s="73"/>
      <c r="B30" s="73"/>
      <c r="C30" s="75"/>
      <c r="D30" s="75"/>
      <c r="E30" s="75">
        <v>5.639000187857888E-3</v>
      </c>
      <c r="F30" s="75">
        <v>3.0910421891770646E-3</v>
      </c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>
        <v>4.0705613832993561E-3</v>
      </c>
    </row>
    <row r="31" spans="1:18">
      <c r="A31" s="73"/>
      <c r="B31" s="73"/>
      <c r="C31" s="75"/>
      <c r="D31" s="75"/>
      <c r="E31" s="75">
        <v>0.38611403641049258</v>
      </c>
      <c r="F31" s="75">
        <v>0.10647394463836926</v>
      </c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>
        <v>0.21397683027413292</v>
      </c>
    </row>
    <row r="32" spans="1:18">
      <c r="A32" s="73">
        <v>4</v>
      </c>
      <c r="B32" s="73">
        <v>15</v>
      </c>
      <c r="C32" s="75">
        <v>0.67305772930991759</v>
      </c>
      <c r="D32" s="75">
        <v>0.32694227069008241</v>
      </c>
      <c r="E32" s="75"/>
      <c r="F32" s="75"/>
      <c r="G32" s="75">
        <v>0.79217411318894126</v>
      </c>
      <c r="H32" s="75">
        <v>1823.5868766209621</v>
      </c>
      <c r="I32" s="75">
        <v>3754.1161006413154</v>
      </c>
      <c r="J32" s="75">
        <v>0.29415543874710198</v>
      </c>
      <c r="K32" s="75">
        <v>0.89371170625985563</v>
      </c>
      <c r="L32" s="75">
        <v>1.1878671450069576</v>
      </c>
      <c r="M32" s="75">
        <v>0.18786714500695756</v>
      </c>
      <c r="N32" s="75">
        <v>789.15277590318397</v>
      </c>
      <c r="O32" s="75">
        <v>31.60660068066904</v>
      </c>
      <c r="P32" s="75">
        <v>0.77679087408183889</v>
      </c>
      <c r="Q32" s="75">
        <v>2964.9633247381316</v>
      </c>
      <c r="R32" s="75"/>
    </row>
    <row r="33" spans="1:18">
      <c r="A33" s="73"/>
      <c r="B33" s="73"/>
      <c r="C33" s="75"/>
      <c r="D33" s="75"/>
      <c r="E33" s="75">
        <v>0.35692114769548594</v>
      </c>
      <c r="F33" s="75">
        <v>0.71180594034442302</v>
      </c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>
        <v>0.57665788438308552</v>
      </c>
    </row>
    <row r="34" spans="1:18">
      <c r="A34" s="73"/>
      <c r="B34" s="73"/>
      <c r="C34" s="75"/>
      <c r="D34" s="75"/>
      <c r="E34" s="75">
        <v>8.7241532328970597E-2</v>
      </c>
      <c r="F34" s="75">
        <v>0.11952500875124276</v>
      </c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>
        <v>0.10723073982645448</v>
      </c>
    </row>
    <row r="35" spans="1:18">
      <c r="A35" s="73"/>
      <c r="B35" s="73"/>
      <c r="C35" s="75"/>
      <c r="D35" s="75"/>
      <c r="E35" s="75">
        <v>6.3705074630052538E-2</v>
      </c>
      <c r="F35" s="75">
        <v>6.6211464270737111E-2</v>
      </c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>
        <v>6.5256975111334783E-2</v>
      </c>
    </row>
    <row r="36" spans="1:18">
      <c r="A36" s="73"/>
      <c r="B36" s="73"/>
      <c r="C36" s="75"/>
      <c r="D36" s="75"/>
      <c r="E36" s="75">
        <v>4.3732634564254066E-3</v>
      </c>
      <c r="F36" s="75">
        <v>3.7365537572422842E-3</v>
      </c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>
        <v>3.9790270326228111E-3</v>
      </c>
    </row>
    <row r="37" spans="1:18">
      <c r="A37" s="73"/>
      <c r="B37" s="73"/>
      <c r="C37" s="75"/>
      <c r="D37" s="75"/>
      <c r="E37" s="75">
        <v>5.0889860873762531E-3</v>
      </c>
      <c r="F37" s="75">
        <v>4.0170515948968963E-3</v>
      </c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>
        <v>4.4252681930079278E-3</v>
      </c>
    </row>
    <row r="38" spans="1:18">
      <c r="A38" s="73"/>
      <c r="B38" s="73"/>
      <c r="C38" s="75"/>
      <c r="D38" s="75"/>
      <c r="E38" s="75">
        <v>2.0540764238806499E-3</v>
      </c>
      <c r="F38" s="75">
        <v>1.2931662617305573E-3</v>
      </c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>
        <v>1.5829378476253048E-3</v>
      </c>
    </row>
    <row r="39" spans="1:18">
      <c r="A39" s="73"/>
      <c r="B39" s="73"/>
      <c r="C39" s="75"/>
      <c r="D39" s="75"/>
      <c r="E39" s="75">
        <v>2.6679320191509166E-3</v>
      </c>
      <c r="F39" s="75">
        <v>1.611872570352882E-3</v>
      </c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>
        <v>2.0140435972355224E-3</v>
      </c>
    </row>
    <row r="40" spans="1:18">
      <c r="A40" s="73"/>
      <c r="B40" s="73"/>
      <c r="C40" s="75"/>
      <c r="D40" s="75"/>
      <c r="E40" s="75">
        <v>6.3195103434024961E-3</v>
      </c>
      <c r="F40" s="75">
        <v>2.9781194609161225E-3</v>
      </c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>
        <v>4.2505957442875849E-3</v>
      </c>
    </row>
    <row r="41" spans="1:18">
      <c r="A41" s="73"/>
      <c r="B41" s="73"/>
      <c r="C41" s="75"/>
      <c r="D41" s="75"/>
      <c r="E41" s="75">
        <v>0.47162891524308087</v>
      </c>
      <c r="F41" s="75">
        <v>8.8820615525436658E-2</v>
      </c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>
        <v>0.2346025666948216</v>
      </c>
    </row>
    <row r="42" spans="1:18">
      <c r="A42" s="73">
        <v>5</v>
      </c>
      <c r="B42" s="73">
        <v>12</v>
      </c>
      <c r="C42" s="75">
        <v>0.67520345998050124</v>
      </c>
      <c r="D42" s="75">
        <v>0.32479654001949876</v>
      </c>
      <c r="E42" s="75"/>
      <c r="F42" s="75"/>
      <c r="G42" s="75">
        <v>0.77112925912660235</v>
      </c>
      <c r="H42" s="75">
        <v>1555.3045371111077</v>
      </c>
      <c r="I42" s="75">
        <v>3233.245664247986</v>
      </c>
      <c r="J42" s="75">
        <v>0.26537324224775599</v>
      </c>
      <c r="K42" s="75">
        <v>0.975516173513712</v>
      </c>
      <c r="L42" s="75">
        <v>1.2408894157614681</v>
      </c>
      <c r="M42" s="75">
        <v>0.24088941576146805</v>
      </c>
      <c r="N42" s="75">
        <v>798.40261004452657</v>
      </c>
      <c r="O42" s="75">
        <v>43.009941197152123</v>
      </c>
      <c r="P42" s="75">
        <v>0.74577734509775906</v>
      </c>
      <c r="Q42" s="75">
        <v>2434.8430542034594</v>
      </c>
      <c r="R42" s="75"/>
    </row>
    <row r="43" spans="1:18">
      <c r="A43" s="73"/>
      <c r="B43" s="73"/>
      <c r="C43" s="75"/>
      <c r="D43" s="75"/>
      <c r="E43" s="75">
        <v>0.28460351423833274</v>
      </c>
      <c r="F43" s="75">
        <v>0.7171462772051973</v>
      </c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>
        <v>0.54854706969685962</v>
      </c>
    </row>
    <row r="44" spans="1:18">
      <c r="A44" s="73"/>
      <c r="B44" s="73"/>
      <c r="C44" s="75"/>
      <c r="D44" s="75"/>
      <c r="E44" s="75">
        <v>7.6387833421351845E-2</v>
      </c>
      <c r="F44" s="75">
        <v>0.1220672593028385</v>
      </c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>
        <v>0.10426204866833649</v>
      </c>
    </row>
    <row r="45" spans="1:18">
      <c r="A45" s="73"/>
      <c r="B45" s="73"/>
      <c r="C45" s="75"/>
      <c r="D45" s="75"/>
      <c r="E45" s="75">
        <v>5.9588527876996804E-2</v>
      </c>
      <c r="F45" s="75">
        <v>6.7983696993135043E-2</v>
      </c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>
        <v>6.471137577760748E-2</v>
      </c>
    </row>
    <row r="46" spans="1:18">
      <c r="A46" s="73"/>
      <c r="B46" s="73"/>
      <c r="C46" s="75"/>
      <c r="D46" s="75"/>
      <c r="E46" s="75">
        <v>4.2734044323086201E-3</v>
      </c>
      <c r="F46" s="75">
        <v>3.837421181135248E-3</v>
      </c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>
        <v>4.0073614435281492E-3</v>
      </c>
    </row>
    <row r="47" spans="1:18">
      <c r="A47" s="73"/>
      <c r="B47" s="73"/>
      <c r="C47" s="75"/>
      <c r="D47" s="75"/>
      <c r="E47" s="75">
        <v>5.0525684880778337E-3</v>
      </c>
      <c r="F47" s="75">
        <v>4.1235147550178434E-3</v>
      </c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>
        <v>4.485647095534142E-3</v>
      </c>
    </row>
    <row r="48" spans="1:18">
      <c r="A48" s="73"/>
      <c r="B48" s="73"/>
      <c r="C48" s="75"/>
      <c r="D48" s="75"/>
      <c r="E48" s="75">
        <v>2.1301592856167416E-3</v>
      </c>
      <c r="F48" s="75">
        <v>1.3197051478265715E-3</v>
      </c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>
        <v>1.6356090006989026E-3</v>
      </c>
    </row>
    <row r="49" spans="1:18">
      <c r="A49" s="73"/>
      <c r="B49" s="73"/>
      <c r="C49" s="75"/>
      <c r="D49" s="75"/>
      <c r="E49" s="75">
        <v>2.7911558837077784E-3</v>
      </c>
      <c r="F49" s="75">
        <v>1.6402253382767796E-3</v>
      </c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>
        <v>2.0888422022506906E-3</v>
      </c>
    </row>
    <row r="50" spans="1:18">
      <c r="A50" s="73"/>
      <c r="B50" s="73"/>
      <c r="C50" s="75"/>
      <c r="D50" s="75"/>
      <c r="E50" s="75">
        <v>6.89025747648661E-3</v>
      </c>
      <c r="F50" s="75">
        <v>2.9808258923012237E-3</v>
      </c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>
        <v>4.5046684422971762E-3</v>
      </c>
    </row>
    <row r="51" spans="1:18">
      <c r="A51" s="73"/>
      <c r="B51" s="73"/>
      <c r="C51" s="75"/>
      <c r="D51" s="75"/>
      <c r="E51" s="75">
        <v>0.5582833096922527</v>
      </c>
      <c r="F51" s="75">
        <v>7.8900779563069887E-2</v>
      </c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>
        <v>0.26575748274483985</v>
      </c>
    </row>
    <row r="52" spans="1:18">
      <c r="A52" s="73">
        <v>6</v>
      </c>
      <c r="B52" s="73">
        <v>9</v>
      </c>
      <c r="C52" s="75">
        <v>0.66875881169837481</v>
      </c>
      <c r="D52" s="75">
        <v>0.33124118830162519</v>
      </c>
      <c r="E52" s="75"/>
      <c r="F52" s="75"/>
      <c r="G52" s="75">
        <v>0.74338492458098471</v>
      </c>
      <c r="H52" s="75">
        <v>1321.7012296459047</v>
      </c>
      <c r="I52" s="75">
        <v>2668.4463616686621</v>
      </c>
      <c r="J52" s="75">
        <v>0.23936654576924113</v>
      </c>
      <c r="K52" s="75">
        <v>1.0896895135984317</v>
      </c>
      <c r="L52" s="75">
        <v>1.3290560593676728</v>
      </c>
      <c r="M52" s="75">
        <v>0.32905605936767279</v>
      </c>
      <c r="N52" s="75">
        <v>805.79691136522786</v>
      </c>
      <c r="O52" s="75">
        <v>54.518892259969384</v>
      </c>
      <c r="P52" s="75">
        <v>0.70087169480171829</v>
      </c>
      <c r="Q52" s="75">
        <v>1862.6494503034342</v>
      </c>
      <c r="R52" s="75"/>
    </row>
    <row r="53" spans="1:18">
      <c r="A53" s="73"/>
      <c r="B53" s="73"/>
      <c r="C53" s="75"/>
      <c r="D53" s="75"/>
      <c r="E53" s="75">
        <v>0.21271763851311218</v>
      </c>
      <c r="F53" s="75">
        <v>0.71488587212618049</v>
      </c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>
        <v>0.50645519392397198</v>
      </c>
    </row>
    <row r="54" spans="1:18">
      <c r="A54" s="73"/>
      <c r="B54" s="73"/>
      <c r="C54" s="75"/>
      <c r="D54" s="75"/>
      <c r="E54" s="75">
        <v>6.2990776375218632E-2</v>
      </c>
      <c r="F54" s="75">
        <v>0.124704015245755</v>
      </c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>
        <v>9.9089228465450679E-2</v>
      </c>
    </row>
    <row r="55" spans="1:18">
      <c r="A55" s="73"/>
      <c r="B55" s="73"/>
      <c r="C55" s="75"/>
      <c r="D55" s="75"/>
      <c r="E55" s="75">
        <v>5.2855855040514675E-2</v>
      </c>
      <c r="F55" s="75">
        <v>7.0583502930468625E-2</v>
      </c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>
        <v>6.3225439585744753E-2</v>
      </c>
    </row>
    <row r="56" spans="1:18">
      <c r="A56" s="73"/>
      <c r="B56" s="73"/>
      <c r="C56" s="75"/>
      <c r="D56" s="75"/>
      <c r="E56" s="75">
        <v>3.9837592640491228E-3</v>
      </c>
      <c r="F56" s="75">
        <v>4.019051777682082E-3</v>
      </c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>
        <v>4.0044032155875584E-3</v>
      </c>
    </row>
    <row r="57" spans="1:18">
      <c r="A57" s="73"/>
      <c r="B57" s="73"/>
      <c r="C57" s="75"/>
      <c r="D57" s="75"/>
      <c r="E57" s="75">
        <v>4.7955634305776535E-3</v>
      </c>
      <c r="F57" s="75">
        <v>4.3321432413820143E-3</v>
      </c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>
        <v>4.5244910998510314E-3</v>
      </c>
    </row>
    <row r="58" spans="1:18">
      <c r="A58" s="73"/>
      <c r="B58" s="73"/>
      <c r="C58" s="75"/>
      <c r="D58" s="75"/>
      <c r="E58" s="75">
        <v>2.1266481186830192E-3</v>
      </c>
      <c r="F58" s="75">
        <v>1.3923936918335586E-3</v>
      </c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>
        <v>1.6971544033188024E-3</v>
      </c>
    </row>
    <row r="59" spans="1:18">
      <c r="A59" s="73"/>
      <c r="B59" s="73"/>
      <c r="C59" s="75"/>
      <c r="D59" s="75"/>
      <c r="E59" s="75">
        <v>2.8166603420785902E-3</v>
      </c>
      <c r="F59" s="75">
        <v>1.7283484916828726E-3</v>
      </c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>
        <v>2.1800647928941182E-3</v>
      </c>
    </row>
    <row r="60" spans="1:18">
      <c r="A60" s="73"/>
      <c r="B60" s="73"/>
      <c r="C60" s="75"/>
      <c r="D60" s="75"/>
      <c r="E60" s="75">
        <v>7.3001134537225348E-3</v>
      </c>
      <c r="F60" s="75">
        <v>3.1200638416268561E-3</v>
      </c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>
        <v>4.8550413197906749E-3</v>
      </c>
    </row>
    <row r="61" spans="1:18">
      <c r="A61" s="73"/>
      <c r="B61" s="73"/>
      <c r="C61" s="75"/>
      <c r="D61" s="75"/>
      <c r="E61" s="75">
        <v>0.65041334104669268</v>
      </c>
      <c r="F61" s="75">
        <v>7.5234589644548558E-2</v>
      </c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>
        <v>0.31396911966386937</v>
      </c>
    </row>
    <row r="62" spans="1:18">
      <c r="A62" s="73">
        <v>7</v>
      </c>
      <c r="B62" s="73">
        <v>6</v>
      </c>
      <c r="C62" s="75">
        <v>0.65224715919461418</v>
      </c>
      <c r="D62" s="75">
        <v>0.34775284080538582</v>
      </c>
      <c r="E62" s="75"/>
      <c r="F62" s="75"/>
      <c r="G62" s="75">
        <v>0.70428213321856559</v>
      </c>
      <c r="H62" s="75">
        <v>1107.3669950729445</v>
      </c>
      <c r="I62" s="75">
        <v>2076.9836848763944</v>
      </c>
      <c r="J62" s="75">
        <v>0.21360729162528544</v>
      </c>
      <c r="K62" s="75">
        <v>1.2936917014189666</v>
      </c>
      <c r="L62" s="75">
        <v>1.507298993044252</v>
      </c>
      <c r="M62" s="75">
        <v>0.50729899304425197</v>
      </c>
      <c r="N62" s="75">
        <v>814.45349827277437</v>
      </c>
      <c r="O62" s="75">
        <v>66.151482708449208</v>
      </c>
      <c r="P62" s="75">
        <v>0.62782505929088828</v>
      </c>
      <c r="Q62" s="75">
        <v>1262.53018660362</v>
      </c>
      <c r="R62" s="75"/>
    </row>
    <row r="63" spans="1:18">
      <c r="A63" s="73"/>
      <c r="B63" s="73"/>
      <c r="C63" s="75"/>
      <c r="D63" s="75"/>
      <c r="E63" s="75">
        <v>0.14011912364255669</v>
      </c>
      <c r="F63" s="75">
        <v>0.70177135181594119</v>
      </c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>
        <v>0.43933163713245965</v>
      </c>
    </row>
    <row r="64" spans="1:18">
      <c r="A64" s="73"/>
      <c r="B64" s="73"/>
      <c r="C64" s="75"/>
      <c r="D64" s="75"/>
      <c r="E64" s="75">
        <v>4.6282373363337771E-2</v>
      </c>
      <c r="F64" s="75">
        <v>0.12724379168107808</v>
      </c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>
        <v>8.9413457431752247E-2</v>
      </c>
    </row>
    <row r="65" spans="1:18">
      <c r="A65" s="73"/>
      <c r="B65" s="73"/>
      <c r="C65" s="75"/>
      <c r="D65" s="75"/>
      <c r="E65" s="75">
        <v>4.2361799813920166E-2</v>
      </c>
      <c r="F65" s="75">
        <v>7.4349121610134225E-2</v>
      </c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>
        <v>5.9402606338595718E-2</v>
      </c>
    </row>
    <row r="66" spans="1:18">
      <c r="A66" s="73"/>
      <c r="B66" s="73"/>
      <c r="C66" s="75"/>
      <c r="D66" s="75"/>
      <c r="E66" s="75">
        <v>3.3976812081634184E-3</v>
      </c>
      <c r="F66" s="75">
        <v>4.3278838144473796E-3</v>
      </c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>
        <v>3.8932338756677686E-3</v>
      </c>
    </row>
    <row r="67" spans="1:18">
      <c r="A67" s="73"/>
      <c r="B67" s="73"/>
      <c r="C67" s="75"/>
      <c r="D67" s="75"/>
      <c r="E67" s="75">
        <v>4.1840003598677435E-3</v>
      </c>
      <c r="F67" s="75">
        <v>4.706027531904371E-3</v>
      </c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>
        <v>4.4621031687234877E-3</v>
      </c>
    </row>
    <row r="68" spans="1:18">
      <c r="A68" s="73"/>
      <c r="B68" s="73"/>
      <c r="C68" s="75"/>
      <c r="D68" s="75"/>
      <c r="E68" s="75">
        <v>1.9826302462186262E-3</v>
      </c>
      <c r="F68" s="75">
        <v>1.5449497766672903E-3</v>
      </c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>
        <v>1.7494619850941138E-3</v>
      </c>
    </row>
    <row r="69" spans="1:18">
      <c r="A69" s="73"/>
      <c r="B69" s="73"/>
      <c r="C69" s="75"/>
      <c r="D69" s="75"/>
      <c r="E69" s="75">
        <v>2.6648793347890478E-3</v>
      </c>
      <c r="F69" s="75">
        <v>1.9215805176756521E-3</v>
      </c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>
        <v>2.2688970949146011E-3</v>
      </c>
    </row>
    <row r="70" spans="1:18">
      <c r="A70" s="73"/>
      <c r="B70" s="73"/>
      <c r="C70" s="75"/>
      <c r="D70" s="75"/>
      <c r="E70" s="75">
        <v>7.3798522298759786E-3</v>
      </c>
      <c r="F70" s="75">
        <v>3.5089102495338867E-3</v>
      </c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>
        <v>5.3176610350176047E-3</v>
      </c>
    </row>
    <row r="71" spans="1:18">
      <c r="A71" s="73"/>
      <c r="B71" s="73"/>
      <c r="C71" s="75"/>
      <c r="D71" s="75"/>
      <c r="E71" s="75">
        <v>0.75162780594966516</v>
      </c>
      <c r="F71" s="75">
        <v>8.0626514313208358E-2</v>
      </c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>
        <v>0.39416108018153295</v>
      </c>
    </row>
    <row r="72" spans="1:18">
      <c r="A72" s="73">
        <v>8</v>
      </c>
      <c r="B72" s="73">
        <v>3</v>
      </c>
      <c r="C72" s="75">
        <v>0.6283539278636604</v>
      </c>
      <c r="D72" s="75">
        <v>0.3716460721363396</v>
      </c>
      <c r="E72" s="75"/>
      <c r="F72" s="75"/>
      <c r="G72" s="75">
        <v>0.6498648356879998</v>
      </c>
      <c r="H72" s="75">
        <v>880.76297893707635</v>
      </c>
      <c r="I72" s="75">
        <v>1489.134202739488</v>
      </c>
      <c r="J72" s="75">
        <v>0.1817182460034131</v>
      </c>
      <c r="K72" s="75">
        <v>1.8884916829280789</v>
      </c>
      <c r="L72" s="75">
        <v>2.0702099289314919</v>
      </c>
      <c r="M72" s="75">
        <v>1.0702099289314919</v>
      </c>
      <c r="N72" s="75">
        <v>843.89368705733148</v>
      </c>
      <c r="O72" s="75">
        <v>78.204558377488524</v>
      </c>
      <c r="P72" s="75">
        <v>0.48750898796947156</v>
      </c>
      <c r="Q72" s="75">
        <v>645.24051568215657</v>
      </c>
      <c r="R72" s="75"/>
    </row>
    <row r="73" spans="1:18">
      <c r="A73" s="73"/>
      <c r="B73" s="73"/>
      <c r="C73" s="75"/>
      <c r="D73" s="75"/>
      <c r="E73" s="75">
        <v>6.6656126659978901E-2</v>
      </c>
      <c r="F73" s="75">
        <v>0.6597542103141063</v>
      </c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>
        <v>0.31743596739853286</v>
      </c>
    </row>
    <row r="74" spans="1:18">
      <c r="A74" s="73"/>
      <c r="B74" s="73"/>
      <c r="C74" s="75"/>
      <c r="D74" s="75"/>
      <c r="E74" s="75">
        <v>2.5138657421200031E-2</v>
      </c>
      <c r="F74" s="75">
        <v>0.12742941611682881</v>
      </c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>
        <v>6.8390289624542633E-2</v>
      </c>
    </row>
    <row r="75" spans="1:18">
      <c r="A75" s="73"/>
      <c r="B75" s="73"/>
      <c r="C75" s="75"/>
      <c r="D75" s="75"/>
      <c r="E75" s="75">
        <v>2.586818256385635E-2</v>
      </c>
      <c r="F75" s="75">
        <v>7.9236869044026839E-2</v>
      </c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>
        <v>4.8434080287659984E-2</v>
      </c>
    </row>
    <row r="76" spans="1:18">
      <c r="A76" s="73"/>
      <c r="B76" s="73"/>
      <c r="C76" s="75"/>
      <c r="D76" s="75"/>
      <c r="E76" s="75">
        <v>2.272480438441301E-3</v>
      </c>
      <c r="F76" s="75">
        <v>4.8518443372823012E-3</v>
      </c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>
        <v>3.3631136500221056E-3</v>
      </c>
    </row>
    <row r="77" spans="1:18">
      <c r="A77" s="73"/>
      <c r="B77" s="73"/>
      <c r="C77" s="75"/>
      <c r="D77" s="75"/>
      <c r="E77" s="75">
        <v>2.896643592601392E-3</v>
      </c>
      <c r="F77" s="75">
        <v>5.3880095357482739E-3</v>
      </c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>
        <v>3.950068602162177E-3</v>
      </c>
    </row>
    <row r="78" spans="1:18">
      <c r="A78" s="73"/>
      <c r="B78" s="73"/>
      <c r="C78" s="75"/>
      <c r="D78" s="75"/>
      <c r="E78" s="75">
        <v>1.5271943315043747E-3</v>
      </c>
      <c r="F78" s="75">
        <v>1.88092436124323E-3</v>
      </c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>
        <v>1.6767621061561059E-3</v>
      </c>
    </row>
    <row r="79" spans="1:18">
      <c r="A79" s="73"/>
      <c r="B79" s="73"/>
      <c r="C79" s="75"/>
      <c r="D79" s="75"/>
      <c r="E79" s="75">
        <v>2.1046020591144886E-3</v>
      </c>
      <c r="F79" s="75">
        <v>2.3660709996504363E-3</v>
      </c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>
        <v>2.2151590497250366E-3</v>
      </c>
    </row>
    <row r="80" spans="1:18">
      <c r="A80" s="73"/>
      <c r="B80" s="73"/>
      <c r="C80" s="75"/>
      <c r="D80" s="75"/>
      <c r="E80" s="75">
        <v>6.5464309479210244E-3</v>
      </c>
      <c r="F80" s="75">
        <v>4.5908930600922441E-3</v>
      </c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>
        <v>5.7195702758270342E-3</v>
      </c>
    </row>
    <row r="81" spans="1:18">
      <c r="A81" s="73"/>
      <c r="B81" s="73"/>
      <c r="C81" s="75"/>
      <c r="D81" s="75"/>
      <c r="E81" s="75">
        <v>0.86698995269961188</v>
      </c>
      <c r="F81" s="75">
        <v>0.11450182212382459</v>
      </c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>
        <v>0.54881517057791462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/>
  <dimension ref="A1:Q72"/>
  <sheetViews>
    <sheetView workbookViewId="0">
      <selection activeCell="K17" sqref="K17"/>
    </sheetView>
  </sheetViews>
  <sheetFormatPr defaultRowHeight="14.25"/>
  <cols>
    <col min="1" max="1" width="7.625" bestFit="1" customWidth="1"/>
    <col min="2" max="3" width="5.625" style="17" bestFit="1" customWidth="1"/>
    <col min="4" max="17" width="5.625" bestFit="1" customWidth="1"/>
  </cols>
  <sheetData>
    <row r="1" spans="1:17">
      <c r="A1" t="s">
        <v>200</v>
      </c>
      <c r="B1" s="95" t="s">
        <v>269</v>
      </c>
      <c r="C1" s="96"/>
      <c r="D1" s="95" t="s">
        <v>270</v>
      </c>
      <c r="E1" s="96"/>
      <c r="F1" s="95" t="s">
        <v>271</v>
      </c>
      <c r="G1" s="96"/>
      <c r="H1" s="95" t="s">
        <v>272</v>
      </c>
      <c r="I1" s="96"/>
      <c r="J1" s="95" t="s">
        <v>273</v>
      </c>
      <c r="K1" s="96"/>
      <c r="L1" s="95" t="s">
        <v>274</v>
      </c>
      <c r="M1" s="96"/>
      <c r="N1" s="95" t="s">
        <v>275</v>
      </c>
      <c r="O1" s="96"/>
      <c r="P1" s="95" t="s">
        <v>276</v>
      </c>
      <c r="Q1" s="96"/>
    </row>
    <row r="2" spans="1:17">
      <c r="B2" s="77" t="s">
        <v>42</v>
      </c>
      <c r="C2" s="78" t="s">
        <v>102</v>
      </c>
      <c r="D2" s="77" t="s">
        <v>42</v>
      </c>
      <c r="E2" s="78" t="s">
        <v>102</v>
      </c>
      <c r="F2" s="77" t="s">
        <v>42</v>
      </c>
      <c r="G2" s="78" t="s">
        <v>102</v>
      </c>
      <c r="H2" s="77" t="s">
        <v>42</v>
      </c>
      <c r="I2" s="78" t="s">
        <v>102</v>
      </c>
      <c r="J2" s="77" t="s">
        <v>42</v>
      </c>
      <c r="K2" s="78" t="s">
        <v>102</v>
      </c>
      <c r="L2" s="77" t="s">
        <v>42</v>
      </c>
      <c r="M2" s="78" t="s">
        <v>102</v>
      </c>
      <c r="N2" s="77" t="s">
        <v>42</v>
      </c>
      <c r="O2" s="78" t="s">
        <v>102</v>
      </c>
      <c r="P2" s="77" t="s">
        <v>42</v>
      </c>
      <c r="Q2" s="78" t="s">
        <v>102</v>
      </c>
    </row>
    <row r="3" spans="1:17">
      <c r="A3" s="76" t="s">
        <v>11</v>
      </c>
      <c r="B3" s="79">
        <v>0.61349582930076685</v>
      </c>
      <c r="C3" s="80">
        <v>0.61350000000000005</v>
      </c>
      <c r="D3" s="79">
        <v>0.52138812995733474</v>
      </c>
      <c r="E3" s="80">
        <v>0.66505247020846869</v>
      </c>
      <c r="F3" s="79">
        <v>0.43250130254458202</v>
      </c>
      <c r="G3" s="80">
        <v>0.69774912085262075</v>
      </c>
      <c r="H3" s="79">
        <v>0.35692114769548594</v>
      </c>
      <c r="I3" s="80">
        <v>0.71180594034442302</v>
      </c>
      <c r="J3" s="79">
        <v>0.28460351423833274</v>
      </c>
      <c r="K3" s="80">
        <v>0.7171462772051973</v>
      </c>
      <c r="L3" s="79">
        <v>0.21271763851311218</v>
      </c>
      <c r="M3" s="80">
        <v>0.71488587212618049</v>
      </c>
      <c r="N3" s="79">
        <v>0.14011912364255669</v>
      </c>
      <c r="O3" s="80">
        <v>0.70177135181594119</v>
      </c>
      <c r="P3" s="79">
        <v>6.6656126659978901E-2</v>
      </c>
      <c r="Q3" s="80">
        <v>0.6597542103141063</v>
      </c>
    </row>
    <row r="4" spans="1:17">
      <c r="A4" s="76" t="s">
        <v>12</v>
      </c>
      <c r="B4" s="79">
        <v>0.11029975983658032</v>
      </c>
      <c r="C4" s="80">
        <v>0.1103</v>
      </c>
      <c r="D4" s="79">
        <v>0.10409948604103361</v>
      </c>
      <c r="E4" s="80">
        <v>0.11377025645010515</v>
      </c>
      <c r="F4" s="79">
        <v>9.6188094927032328E-2</v>
      </c>
      <c r="G4" s="80">
        <v>0.11695282273077029</v>
      </c>
      <c r="H4" s="79">
        <v>8.7241532328970597E-2</v>
      </c>
      <c r="I4" s="80">
        <v>0.11952500875124276</v>
      </c>
      <c r="J4" s="79">
        <v>7.6387833421351845E-2</v>
      </c>
      <c r="K4" s="80">
        <v>0.1220672593028385</v>
      </c>
      <c r="L4" s="79">
        <v>6.2990776375218632E-2</v>
      </c>
      <c r="M4" s="80">
        <v>0.124704015245755</v>
      </c>
      <c r="N4" s="79">
        <v>4.6282373363337771E-2</v>
      </c>
      <c r="O4" s="80">
        <v>0.12724379168107808</v>
      </c>
      <c r="P4" s="79">
        <v>2.5138657421200031E-2</v>
      </c>
      <c r="Q4" s="80">
        <v>0.12742941611682881</v>
      </c>
    </row>
    <row r="5" spans="1:17">
      <c r="A5" s="76" t="s">
        <v>13</v>
      </c>
      <c r="B5" s="79">
        <v>6.5300076118336992E-2</v>
      </c>
      <c r="C5" s="80">
        <v>6.5299999999999997E-2</v>
      </c>
      <c r="D5" s="79">
        <v>6.6293726424463309E-2</v>
      </c>
      <c r="E5" s="80">
        <v>6.4743838759664926E-2</v>
      </c>
      <c r="F5" s="79">
        <v>6.5856632793391573E-2</v>
      </c>
      <c r="G5" s="80">
        <v>6.5101859941948573E-2</v>
      </c>
      <c r="H5" s="79">
        <v>6.3705074630052538E-2</v>
      </c>
      <c r="I5" s="80">
        <v>6.6211464270737111E-2</v>
      </c>
      <c r="J5" s="79">
        <v>5.9588527876996804E-2</v>
      </c>
      <c r="K5" s="80">
        <v>6.7983696993135043E-2</v>
      </c>
      <c r="L5" s="79">
        <v>5.2855855040514675E-2</v>
      </c>
      <c r="M5" s="80">
        <v>7.0583502930468625E-2</v>
      </c>
      <c r="N5" s="79">
        <v>4.2361799813920166E-2</v>
      </c>
      <c r="O5" s="80">
        <v>7.4349121610134225E-2</v>
      </c>
      <c r="P5" s="79">
        <v>2.586818256385635E-2</v>
      </c>
      <c r="Q5" s="80">
        <v>7.9236869044026839E-2</v>
      </c>
    </row>
    <row r="6" spans="1:17">
      <c r="A6" s="76" t="s">
        <v>14</v>
      </c>
      <c r="B6" s="79">
        <v>3.900013768384111E-3</v>
      </c>
      <c r="C6" s="80">
        <v>3.9000000000000003E-3</v>
      </c>
      <c r="D6" s="79">
        <v>4.1617050268142252E-3</v>
      </c>
      <c r="E6" s="80">
        <v>3.7535309228658846E-3</v>
      </c>
      <c r="F6" s="79">
        <v>4.3350267071623995E-3</v>
      </c>
      <c r="G6" s="80">
        <v>3.7009679463170446E-3</v>
      </c>
      <c r="H6" s="79">
        <v>4.3732634564254066E-3</v>
      </c>
      <c r="I6" s="80">
        <v>3.7365537572422842E-3</v>
      </c>
      <c r="J6" s="79">
        <v>4.2734044323086201E-3</v>
      </c>
      <c r="K6" s="80">
        <v>3.837421181135248E-3</v>
      </c>
      <c r="L6" s="79">
        <v>3.9837592640491228E-3</v>
      </c>
      <c r="M6" s="80">
        <v>4.019051777682082E-3</v>
      </c>
      <c r="N6" s="79">
        <v>3.3976812081634184E-3</v>
      </c>
      <c r="O6" s="80">
        <v>4.3278838144473796E-3</v>
      </c>
      <c r="P6" s="79">
        <v>2.272480438441301E-3</v>
      </c>
      <c r="Q6" s="80">
        <v>4.8518443372823012E-3</v>
      </c>
    </row>
    <row r="7" spans="1:17">
      <c r="A7" s="76" t="s">
        <v>15</v>
      </c>
      <c r="B7" s="79">
        <v>4.3000194255198741E-3</v>
      </c>
      <c r="C7" s="80">
        <v>4.3E-3</v>
      </c>
      <c r="D7" s="79">
        <v>4.6820082075929156E-3</v>
      </c>
      <c r="E7" s="80">
        <v>4.086200554475743E-3</v>
      </c>
      <c r="F7" s="79">
        <v>4.9664476160483717E-3</v>
      </c>
      <c r="G7" s="80">
        <v>3.9934660464626057E-3</v>
      </c>
      <c r="H7" s="79">
        <v>5.0889860873762531E-3</v>
      </c>
      <c r="I7" s="80">
        <v>4.0170515948968963E-3</v>
      </c>
      <c r="J7" s="79">
        <v>5.0525684880778337E-3</v>
      </c>
      <c r="K7" s="80">
        <v>4.1235147550178434E-3</v>
      </c>
      <c r="L7" s="79">
        <v>4.7955634305776535E-3</v>
      </c>
      <c r="M7" s="80">
        <v>4.3321432413820143E-3</v>
      </c>
      <c r="N7" s="79">
        <v>4.1840003598677435E-3</v>
      </c>
      <c r="O7" s="80">
        <v>4.706027531904371E-3</v>
      </c>
      <c r="P7" s="79">
        <v>2.896643592601392E-3</v>
      </c>
      <c r="Q7" s="80">
        <v>5.3880095357482739E-3</v>
      </c>
    </row>
    <row r="8" spans="1:17">
      <c r="A8" s="76" t="s">
        <v>17</v>
      </c>
      <c r="B8" s="79">
        <v>1.5000109152716907E-3</v>
      </c>
      <c r="C8" s="80">
        <v>1.5E-3</v>
      </c>
      <c r="D8" s="79">
        <v>1.7261214319148272E-3</v>
      </c>
      <c r="E8" s="80">
        <v>1.3734460783731144E-3</v>
      </c>
      <c r="F8" s="79">
        <v>1.9223303878151481E-3</v>
      </c>
      <c r="G8" s="80">
        <v>1.3043790621927274E-3</v>
      </c>
      <c r="H8" s="79">
        <v>2.0540764238806499E-3</v>
      </c>
      <c r="I8" s="80">
        <v>1.2931662617305573E-3</v>
      </c>
      <c r="J8" s="79">
        <v>2.1301592856167416E-3</v>
      </c>
      <c r="K8" s="80">
        <v>1.3197051478265715E-3</v>
      </c>
      <c r="L8" s="79">
        <v>2.1266481186830192E-3</v>
      </c>
      <c r="M8" s="80">
        <v>1.3923936918335586E-3</v>
      </c>
      <c r="N8" s="79">
        <v>1.9826302462186262E-3</v>
      </c>
      <c r="O8" s="80">
        <v>1.5449497766672903E-3</v>
      </c>
      <c r="P8" s="79">
        <v>1.5271943315043747E-3</v>
      </c>
      <c r="Q8" s="80">
        <v>1.88092436124323E-3</v>
      </c>
    </row>
    <row r="9" spans="1:17">
      <c r="A9" s="76" t="s">
        <v>223</v>
      </c>
      <c r="B9" s="79">
        <v>1.9000146170380769E-3</v>
      </c>
      <c r="C9" s="80">
        <v>1.9E-3</v>
      </c>
      <c r="D9" s="79">
        <v>2.2057281213289487E-3</v>
      </c>
      <c r="E9" s="80">
        <v>1.7288924124610507E-3</v>
      </c>
      <c r="F9" s="79">
        <v>2.4771795962817036E-3</v>
      </c>
      <c r="G9" s="80">
        <v>1.6323705493493971E-3</v>
      </c>
      <c r="H9" s="79">
        <v>2.6679320191509166E-3</v>
      </c>
      <c r="I9" s="80">
        <v>1.611872570352882E-3</v>
      </c>
      <c r="J9" s="79">
        <v>2.7911558837077784E-3</v>
      </c>
      <c r="K9" s="80">
        <v>1.6402253382767796E-3</v>
      </c>
      <c r="L9" s="79">
        <v>2.8166603420785902E-3</v>
      </c>
      <c r="M9" s="80">
        <v>1.7283484916828726E-3</v>
      </c>
      <c r="N9" s="79">
        <v>2.6648793347890478E-3</v>
      </c>
      <c r="O9" s="80">
        <v>1.9215805176756521E-3</v>
      </c>
      <c r="P9" s="79">
        <v>2.1046020591144886E-3</v>
      </c>
      <c r="Q9" s="80">
        <v>2.3660709996504363E-3</v>
      </c>
    </row>
    <row r="10" spans="1:17">
      <c r="A10" s="76" t="s">
        <v>18</v>
      </c>
      <c r="B10" s="79">
        <v>3.9000412948999343E-3</v>
      </c>
      <c r="C10" s="80">
        <v>3.9000000000000003E-3</v>
      </c>
      <c r="D10" s="79">
        <v>4.7907193201438816E-3</v>
      </c>
      <c r="E10" s="80">
        <v>3.4014889916516131E-3</v>
      </c>
      <c r="F10" s="79">
        <v>5.639000187857888E-3</v>
      </c>
      <c r="G10" s="80">
        <v>3.0910421891770646E-3</v>
      </c>
      <c r="H10" s="79">
        <v>6.3195103434024961E-3</v>
      </c>
      <c r="I10" s="80">
        <v>2.9781194609161225E-3</v>
      </c>
      <c r="J10" s="79">
        <v>6.89025747648661E-3</v>
      </c>
      <c r="K10" s="80">
        <v>2.9808258923012237E-3</v>
      </c>
      <c r="L10" s="79">
        <v>7.3001134537225348E-3</v>
      </c>
      <c r="M10" s="80">
        <v>3.1200638416268561E-3</v>
      </c>
      <c r="N10" s="79">
        <v>7.3798522298759786E-3</v>
      </c>
      <c r="O10" s="80">
        <v>3.5089102495338867E-3</v>
      </c>
      <c r="P10" s="79">
        <v>6.5464309479210244E-3</v>
      </c>
      <c r="Q10" s="80">
        <v>4.5908930600922441E-3</v>
      </c>
    </row>
    <row r="11" spans="1:17" ht="15" thickBot="1">
      <c r="A11" s="76" t="s">
        <v>183</v>
      </c>
      <c r="B11" s="81">
        <v>0.19540423255291456</v>
      </c>
      <c r="C11" s="82">
        <v>0.19539999999999999</v>
      </c>
      <c r="D11" s="81">
        <v>0.29065237558341417</v>
      </c>
      <c r="E11" s="82">
        <v>0.1420898755581087</v>
      </c>
      <c r="F11" s="81">
        <v>0.38611403641049258</v>
      </c>
      <c r="G11" s="82">
        <v>0.10647394463836926</v>
      </c>
      <c r="H11" s="81">
        <v>0.47162891524308087</v>
      </c>
      <c r="I11" s="82">
        <v>8.8820615525436658E-2</v>
      </c>
      <c r="J11" s="81">
        <v>0.5582833096922527</v>
      </c>
      <c r="K11" s="82">
        <v>7.8900779563069887E-2</v>
      </c>
      <c r="L11" s="81">
        <v>0.65041334104669268</v>
      </c>
      <c r="M11" s="82">
        <v>7.5234589644548558E-2</v>
      </c>
      <c r="N11" s="81">
        <v>0.75162780594966516</v>
      </c>
      <c r="O11" s="82">
        <v>8.0626514313208358E-2</v>
      </c>
      <c r="P11" s="81">
        <v>0.86698995269961188</v>
      </c>
      <c r="Q11" s="82">
        <v>0.11450182212382459</v>
      </c>
    </row>
    <row r="12" spans="1:17">
      <c r="B12" s="75"/>
      <c r="C12" s="75"/>
    </row>
    <row r="16" spans="1:17">
      <c r="A16" t="s">
        <v>283</v>
      </c>
    </row>
    <row r="18" spans="1:13" ht="15" thickBot="1"/>
    <row r="19" spans="1:13">
      <c r="A19" t="s">
        <v>200</v>
      </c>
      <c r="B19" s="95" t="s">
        <v>269</v>
      </c>
      <c r="C19" s="96"/>
      <c r="D19" s="95" t="s">
        <v>270</v>
      </c>
      <c r="E19" s="96"/>
      <c r="F19" s="95" t="s">
        <v>271</v>
      </c>
      <c r="G19" s="96"/>
      <c r="H19" s="95" t="s">
        <v>272</v>
      </c>
      <c r="I19" s="96"/>
      <c r="J19" s="95" t="s">
        <v>273</v>
      </c>
      <c r="K19" s="96"/>
      <c r="L19" s="95" t="s">
        <v>274</v>
      </c>
      <c r="M19" s="96"/>
    </row>
    <row r="20" spans="1:13">
      <c r="B20" s="77" t="s">
        <v>42</v>
      </c>
      <c r="C20" s="78" t="s">
        <v>102</v>
      </c>
      <c r="D20" s="77" t="s">
        <v>42</v>
      </c>
      <c r="E20" s="78" t="s">
        <v>102</v>
      </c>
      <c r="F20" s="77" t="s">
        <v>42</v>
      </c>
      <c r="G20" s="78" t="s">
        <v>102</v>
      </c>
      <c r="H20" s="77" t="s">
        <v>42</v>
      </c>
      <c r="I20" s="78" t="s">
        <v>102</v>
      </c>
      <c r="J20" s="77" t="s">
        <v>42</v>
      </c>
      <c r="K20" s="78" t="s">
        <v>102</v>
      </c>
      <c r="L20" s="77" t="s">
        <v>42</v>
      </c>
      <c r="M20" s="78" t="s">
        <v>102</v>
      </c>
    </row>
    <row r="21" spans="1:13">
      <c r="A21" s="76" t="s">
        <v>11</v>
      </c>
      <c r="B21" s="79">
        <v>0.61348735624565398</v>
      </c>
      <c r="C21" s="80">
        <v>0.61350000000000005</v>
      </c>
      <c r="D21" s="79">
        <v>0.47158414568223872</v>
      </c>
      <c r="E21" s="80">
        <v>0.67413783385690573</v>
      </c>
      <c r="F21" s="79">
        <v>0.3700479610167029</v>
      </c>
      <c r="G21" s="80">
        <v>0.69692174179877575</v>
      </c>
      <c r="H21" s="79">
        <v>0.27641069059701651</v>
      </c>
      <c r="I21" s="80">
        <v>0.70264503969462511</v>
      </c>
      <c r="J21" s="79">
        <v>0.18308242764613991</v>
      </c>
      <c r="K21" s="80">
        <v>0.6942237230046846</v>
      </c>
      <c r="L21" s="79">
        <v>8.7817034191765703E-2</v>
      </c>
      <c r="M21" s="80">
        <v>0.65436627084030219</v>
      </c>
    </row>
    <row r="22" spans="1:13">
      <c r="A22" s="76" t="s">
        <v>12</v>
      </c>
      <c r="B22" s="79">
        <v>0.11029900146748636</v>
      </c>
      <c r="C22" s="80">
        <v>0.1103</v>
      </c>
      <c r="D22" s="79">
        <v>9.6796245677493856E-2</v>
      </c>
      <c r="E22" s="80">
        <v>0.11606988677543492</v>
      </c>
      <c r="F22" s="79">
        <v>8.3898246617614983E-2</v>
      </c>
      <c r="G22" s="80">
        <v>0.11955230667008469</v>
      </c>
      <c r="H22" s="79">
        <v>6.8808784427990544E-2</v>
      </c>
      <c r="I22" s="80">
        <v>0.12214170846633235</v>
      </c>
      <c r="J22" s="79">
        <v>5.0248957113729328E-2</v>
      </c>
      <c r="K22" s="80">
        <v>0.12394981817866936</v>
      </c>
      <c r="L22" s="79">
        <v>2.6958321935429623E-2</v>
      </c>
      <c r="M22" s="80">
        <v>0.12231571999775281</v>
      </c>
    </row>
    <row r="23" spans="1:13">
      <c r="A23" s="76" t="s">
        <v>13</v>
      </c>
      <c r="B23" s="79">
        <v>6.5300130912244375E-2</v>
      </c>
      <c r="C23" s="80">
        <v>6.5299999999999997E-2</v>
      </c>
      <c r="D23" s="79">
        <v>6.4690413338152453E-2</v>
      </c>
      <c r="E23" s="80">
        <v>6.5560464307530653E-2</v>
      </c>
      <c r="F23" s="79">
        <v>6.1318136969980001E-2</v>
      </c>
      <c r="G23" s="80">
        <v>6.6850799000919517E-2</v>
      </c>
      <c r="H23" s="79">
        <v>5.4861691268965597E-2</v>
      </c>
      <c r="I23" s="80">
        <v>6.8911046889174293E-2</v>
      </c>
      <c r="J23" s="79">
        <v>4.4111866477920522E-2</v>
      </c>
      <c r="K23" s="80">
        <v>7.1824449563872253E-2</v>
      </c>
      <c r="L23" s="79">
        <v>2.6710549984962102E-2</v>
      </c>
      <c r="M23" s="80">
        <v>7.4930864694287377E-2</v>
      </c>
    </row>
    <row r="24" spans="1:13">
      <c r="A24" s="76" t="s">
        <v>14</v>
      </c>
      <c r="B24" s="79">
        <v>3.9000369729142157E-3</v>
      </c>
      <c r="C24" s="80">
        <v>3.9000000000000003E-3</v>
      </c>
      <c r="D24" s="79">
        <v>4.1781311147816675E-3</v>
      </c>
      <c r="E24" s="80">
        <v>3.7811600831376886E-3</v>
      </c>
      <c r="F24" s="79">
        <v>4.1904597613724136E-3</v>
      </c>
      <c r="G24" s="80">
        <v>3.8123187471864059E-3</v>
      </c>
      <c r="H24" s="79">
        <v>3.9666701366575137E-3</v>
      </c>
      <c r="I24" s="80">
        <v>3.9395491743525468E-3</v>
      </c>
      <c r="J24" s="79">
        <v>3.4055424923995067E-3</v>
      </c>
      <c r="K24" s="80">
        <v>4.1758938932922604E-3</v>
      </c>
      <c r="L24" s="79">
        <v>2.2557435310246385E-3</v>
      </c>
      <c r="M24" s="80">
        <v>4.5489730962533781E-3</v>
      </c>
    </row>
    <row r="25" spans="1:13">
      <c r="A25" s="76" t="s">
        <v>15</v>
      </c>
      <c r="B25" s="79">
        <v>4.3000524967719096E-3</v>
      </c>
      <c r="C25" s="80">
        <v>4.3E-3</v>
      </c>
      <c r="D25" s="79">
        <v>4.7380266274063233E-3</v>
      </c>
      <c r="E25" s="80">
        <v>4.1128398973796602E-3</v>
      </c>
      <c r="F25" s="79">
        <v>4.8434475171943584E-3</v>
      </c>
      <c r="G25" s="80">
        <v>4.1269819541923883E-3</v>
      </c>
      <c r="H25" s="79">
        <v>4.6704437485436782E-3</v>
      </c>
      <c r="I25" s="80">
        <v>4.2668810016434069E-3</v>
      </c>
      <c r="J25" s="79">
        <v>4.0966770501941474E-3</v>
      </c>
      <c r="K25" s="80">
        <v>4.5501950044108076E-3</v>
      </c>
      <c r="L25" s="79">
        <v>2.7967653941805256E-3</v>
      </c>
      <c r="M25" s="80">
        <v>5.0380187363382361E-3</v>
      </c>
    </row>
    <row r="26" spans="1:13">
      <c r="A26" s="76" t="s">
        <v>17</v>
      </c>
      <c r="B26" s="79">
        <v>1.5000316939441578E-3</v>
      </c>
      <c r="C26" s="80">
        <v>1.5E-3</v>
      </c>
      <c r="D26" s="79">
        <v>1.8054839098285765E-3</v>
      </c>
      <c r="E26" s="80">
        <v>1.3694727755458058E-3</v>
      </c>
      <c r="F26" s="79">
        <v>1.9593023831118413E-3</v>
      </c>
      <c r="G26" s="80">
        <v>1.3467241642010561E-3</v>
      </c>
      <c r="H26" s="79">
        <v>2.0058051122435546E-3</v>
      </c>
      <c r="I26" s="80">
        <v>1.3879804805761668E-3</v>
      </c>
      <c r="J26" s="79">
        <v>1.8915885701331653E-3</v>
      </c>
      <c r="K26" s="80">
        <v>1.503937366908858E-3</v>
      </c>
      <c r="L26" s="79">
        <v>1.4398988138702407E-3</v>
      </c>
      <c r="M26" s="80">
        <v>1.7597058410292324E-3</v>
      </c>
    </row>
    <row r="27" spans="1:13">
      <c r="A27" s="76" t="s">
        <v>223</v>
      </c>
      <c r="B27" s="79">
        <v>1.9000432136225068E-3</v>
      </c>
      <c r="C27" s="80">
        <v>1.9E-3</v>
      </c>
      <c r="D27" s="79">
        <v>2.3234441405880794E-3</v>
      </c>
      <c r="E27" s="80">
        <v>1.7190707051858507E-3</v>
      </c>
      <c r="F27" s="79">
        <v>2.5515855559418823E-3</v>
      </c>
      <c r="G27" s="80">
        <v>1.6814754592284007E-3</v>
      </c>
      <c r="H27" s="79">
        <v>2.6463111121731871E-3</v>
      </c>
      <c r="I27" s="80">
        <v>1.728520224316387E-3</v>
      </c>
      <c r="J27" s="79">
        <v>2.537938575024322E-3</v>
      </c>
      <c r="K27" s="80">
        <v>1.8752861533073524E-3</v>
      </c>
      <c r="L27" s="79">
        <v>1.9847704727620767E-3</v>
      </c>
      <c r="M27" s="80">
        <v>2.2182453284201793E-3</v>
      </c>
    </row>
    <row r="28" spans="1:13">
      <c r="A28" s="76" t="s">
        <v>18</v>
      </c>
      <c r="B28" s="79">
        <v>3.9001262827187736E-3</v>
      </c>
      <c r="C28" s="80">
        <v>3.9000000000000003E-3</v>
      </c>
      <c r="D28" s="79">
        <v>5.2239564807667026E-3</v>
      </c>
      <c r="E28" s="80">
        <v>3.3342996171890201E-3</v>
      </c>
      <c r="F28" s="79">
        <v>6.081475246652159E-3</v>
      </c>
      <c r="G28" s="80">
        <v>3.1581869138691257E-3</v>
      </c>
      <c r="H28" s="79">
        <v>6.6889010892489621E-3</v>
      </c>
      <c r="I28" s="80">
        <v>3.199694571695633E-3</v>
      </c>
      <c r="J28" s="79">
        <v>6.907457178757407E-3</v>
      </c>
      <c r="K28" s="80">
        <v>3.49544859820509E-3</v>
      </c>
      <c r="L28" s="79">
        <v>6.1048570765908422E-3</v>
      </c>
      <c r="M28" s="80">
        <v>4.3807497317694339E-3</v>
      </c>
    </row>
    <row r="29" spans="1:13" ht="15" thickBot="1">
      <c r="A29" s="76" t="s">
        <v>183</v>
      </c>
      <c r="B29" s="81">
        <v>0.19541321718613575</v>
      </c>
      <c r="C29" s="82">
        <v>0.19539999999999999</v>
      </c>
      <c r="D29" s="81">
        <v>0.34866020554668548</v>
      </c>
      <c r="E29" s="82">
        <v>0.12991494954181432</v>
      </c>
      <c r="F29" s="81">
        <v>0.4651093890062265</v>
      </c>
      <c r="G29" s="82">
        <v>0.1025494693551099</v>
      </c>
      <c r="H29" s="81">
        <v>0.57994070659069474</v>
      </c>
      <c r="I29" s="82">
        <v>9.1779583558429897E-2</v>
      </c>
      <c r="J29" s="81">
        <v>0.703718052843748</v>
      </c>
      <c r="K29" s="82">
        <v>9.4401042773140889E-2</v>
      </c>
      <c r="L29" s="81">
        <v>0.84393219164492139</v>
      </c>
      <c r="M29" s="82">
        <v>0.13044152052191546</v>
      </c>
    </row>
    <row r="32" spans="1:13">
      <c r="B32" s="75"/>
      <c r="C32" s="75"/>
    </row>
    <row r="42" spans="2:3">
      <c r="B42" s="75"/>
      <c r="C42" s="75"/>
    </row>
    <row r="52" spans="2:3">
      <c r="B52" s="75"/>
      <c r="C52" s="75"/>
    </row>
    <row r="62" spans="2:3">
      <c r="B62" s="75"/>
      <c r="C62" s="75"/>
    </row>
    <row r="72" spans="2:3">
      <c r="B72" s="75"/>
      <c r="C72" s="75"/>
    </row>
  </sheetData>
  <mergeCells count="14">
    <mergeCell ref="N1:O1"/>
    <mergeCell ref="P1:Q1"/>
    <mergeCell ref="B1:C1"/>
    <mergeCell ref="D1:E1"/>
    <mergeCell ref="F1:G1"/>
    <mergeCell ref="H1:I1"/>
    <mergeCell ref="J1:K1"/>
    <mergeCell ref="L1:M1"/>
    <mergeCell ref="L19:M19"/>
    <mergeCell ref="B19:C19"/>
    <mergeCell ref="D19:E19"/>
    <mergeCell ref="F19:G19"/>
    <mergeCell ref="H19:I19"/>
    <mergeCell ref="J19:K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10</vt:i4>
      </vt:variant>
    </vt:vector>
  </HeadingPairs>
  <TitlesOfParts>
    <vt:vector size="10" baseType="lpstr">
      <vt:lpstr>Miejsca Zerowe</vt:lpstr>
      <vt:lpstr>Flash calculations</vt:lpstr>
      <vt:lpstr>CVD</vt:lpstr>
      <vt:lpstr>Separacja gazu</vt:lpstr>
      <vt:lpstr>Arkusz1</vt:lpstr>
      <vt:lpstr>Alani Kennedy</vt:lpstr>
      <vt:lpstr>Comp SPE</vt:lpstr>
      <vt:lpstr>Properties 76</vt:lpstr>
      <vt:lpstr>Arkusz2</vt:lpstr>
      <vt:lpstr>Arkusz3</vt:lpstr>
    </vt:vector>
  </TitlesOfParts>
  <Company>Sil-art Rycho444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Karwowski</dc:creator>
  <cp:lastModifiedBy>Slawek</cp:lastModifiedBy>
  <dcterms:created xsi:type="dcterms:W3CDTF">2017-05-06T22:41:29Z</dcterms:created>
  <dcterms:modified xsi:type="dcterms:W3CDTF">2019-05-01T11:46:32Z</dcterms:modified>
</cp:coreProperties>
</file>